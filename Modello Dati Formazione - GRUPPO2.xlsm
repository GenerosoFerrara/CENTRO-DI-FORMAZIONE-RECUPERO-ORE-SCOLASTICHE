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pivotCache/pivotCacheDefinition15.xml" ContentType="application/vnd.openxmlformats-officedocument.spreadsheetml.pivotCacheDefinition+xml"/>
  <Override PartName="/xl/pivotTables/pivotTable1.xml" ContentType="application/vnd.openxmlformats-officedocument.spreadsheetml.pivotTabl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slicers/slicer2.xml" ContentType="application/vnd.ms-excel.slicer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Questa_cartella_di_lavor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crypt\Downloads\"/>
    </mc:Choice>
  </mc:AlternateContent>
  <xr:revisionPtr revIDLastSave="0" documentId="13_ncr:1_{9B75D7ED-76F6-4588-A891-116F07C4AC2E}" xr6:coauthVersionLast="47" xr6:coauthVersionMax="47" xr10:uidLastSave="{00000000-0000-0000-0000-000000000000}"/>
  <bookViews>
    <workbookView xWindow="-120" yWindow="-120" windowWidth="29040" windowHeight="15840" tabRatio="610" xr2:uid="{6DE9A395-A832-4B02-B7E5-BCF97B6B33A8}"/>
  </bookViews>
  <sheets>
    <sheet name="HOME" sheetId="22" r:id="rId1"/>
    <sheet name="INSERIMENTO DATI" sheetId="5" r:id="rId2"/>
    <sheet name="RICERCA DOCENTE" sheetId="23" r:id="rId3"/>
    <sheet name="ANALISI" sheetId="27" r:id="rId4"/>
    <sheet name="GRAFICI" sheetId="28" r:id="rId5"/>
    <sheet name="sedi" sheetId="8" r:id="rId6"/>
    <sheet name="corsi" sheetId="10" r:id="rId7"/>
    <sheet name="docenti" sheetId="9" r:id="rId8"/>
    <sheet name="programmazione" sheetId="11" r:id="rId9"/>
    <sheet name="traccia" sheetId="7" r:id="rId10"/>
    <sheet name="TAB PIV " sheetId="31" state="hidden" r:id="rId11"/>
  </sheets>
  <definedNames>
    <definedName name="_xlcn.WorksheetConnection_modellodatiformazione1.xlsmTabella11" hidden="1">Tabella1[]</definedName>
    <definedName name="_xlcn.WorksheetConnection_modellodatiformazione1.xlsmTabella31" hidden="1">Tabella3[]</definedName>
    <definedName name="_xlcn.WorksheetConnection_modellodatiformazione1.xlsmTabella41" hidden="1">Tabella4[]</definedName>
    <definedName name="_xlcn.WorksheetConnection_modellodatiformazione1.xlsmTabella51" hidden="1">Tabella5[]</definedName>
    <definedName name="CAPIENZA">sedi!$E$2:$E$1048576</definedName>
    <definedName name="CITTA__DI_RESIDENZA">docenti!$E$2:$E$1048576</definedName>
    <definedName name="CITTA_SEDE">sedi!$C$2:$C$1048576</definedName>
    <definedName name="COGNOME">docenti!$C$2:$C$1048576</definedName>
    <definedName name="combo" comment="combinata di materia docente e nominativo docente">docenti!$F:$G</definedName>
    <definedName name="COSTO_TOTALE">corsi!$F:$F</definedName>
    <definedName name="DATA_DI_NASCITA">docenti!$D$2:$D$1048576</definedName>
    <definedName name="DATA_FINE">programmazione!$F$2:$F$1048576</definedName>
    <definedName name="DATA_INIZIO">programmazione!$E$2:$E$1048576</definedName>
    <definedName name="DENOM_SEDE">sedi!$B$2:$B$1048576</definedName>
    <definedName name="elenco_materie">'INSERIMENTO DATI'!$Q$3:$Q$7</definedName>
    <definedName name="FiltroDati_COSTO_TOTALE">#N/A</definedName>
    <definedName name="FiltroDati_FATTURATO_CORSO">#N/A</definedName>
    <definedName name="FiltroDati_ID_DOCENTE">#N/A</definedName>
    <definedName name="FiltroDati_ID_DOCENTE2">#N/A</definedName>
    <definedName name="FiltroDati_MATERIA">#N/A</definedName>
    <definedName name="FiltroDati_ORE">#N/A</definedName>
    <definedName name="FiltroDati_ORE1">#N/A</definedName>
    <definedName name="FiltroDati_PREZZO">#N/A</definedName>
    <definedName name="ID_CORSO">corsi!$A$2:$A$1048576</definedName>
    <definedName name="ID_DOCENTE">docenti!$A$2:$A$1048576</definedName>
    <definedName name="ID_SEDE">sedi!$A$2:$A$1048576</definedName>
    <definedName name="IND_SEDE">sedi!$D$2:$D$1048576</definedName>
    <definedName name="MAT_CORSO">corsi!$C$2:$C$1048576</definedName>
    <definedName name="MAT_DOCENTE">docenti!$F$2:$F$1048576</definedName>
    <definedName name="MATERIA" localSheetId="1">'INSERIMENTO DATI'!$Q$3:$Q$7</definedName>
    <definedName name="MATERIA">docenti!$F$2:$F$1048576</definedName>
    <definedName name="NOM_COMPLETO">docenti!$G$2:$G$1048576</definedName>
    <definedName name="NOME">docenti!$B$2:$B$1048576</definedName>
    <definedName name="NOME_CORSO">corsi!$B:$B</definedName>
    <definedName name="NOMINATIVO_COMPLETO">docenti!$G$2:$G$1048576</definedName>
    <definedName name="ORE">corsi!$E$2:$E$1048576</definedName>
    <definedName name="PREZZO">corsi!$D$2:$D$1048576</definedName>
    <definedName name="TIT_CORSO">corsi!$B$2:$B$1048576</definedName>
  </definedNames>
  <calcPr calcId="191029"/>
  <pivotCaches>
    <pivotCache cacheId="0" r:id="rId12"/>
    <pivotCache cacheId="1" r:id="rId13"/>
    <pivotCache cacheId="18" r:id="rId14"/>
    <pivotCache cacheId="21" r:id="rId15"/>
    <pivotCache cacheId="24" r:id="rId16"/>
    <pivotCache cacheId="27" r:id="rId17"/>
    <pivotCache cacheId="30" r:id="rId18"/>
    <pivotCache cacheId="33" r:id="rId19"/>
    <pivotCache cacheId="39" r:id="rId20"/>
    <pivotCache cacheId="42" r:id="rId21"/>
    <pivotCache cacheId="45" r:id="rId22"/>
    <pivotCache cacheId="49" r:id="rId23"/>
  </pivotCaches>
  <extLst>
    <ext xmlns:x14="http://schemas.microsoft.com/office/spreadsheetml/2009/9/main" uri="{876F7934-8845-4945-9796-88D515C7AA90}">
      <x14:pivotCaches>
        <pivotCache cacheId="17" r:id="rId24"/>
        <pivotCache cacheId="48" r:id="rId25"/>
      </x14:pivotCaches>
    </ext>
    <ext xmlns:x14="http://schemas.microsoft.com/office/spreadsheetml/2009/9/main" uri="{BBE1A952-AA13-448e-AADC-164F8A28A991}">
      <x14:slicerCaches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841E416B-1EF1-43b6-AB56-02D37102CBD5}">
      <x15:pivotCaches>
        <pivotCache cacheId="36" r:id="rId34"/>
      </x15:pivotCaches>
    </ext>
    <ext xmlns:x15="http://schemas.microsoft.com/office/spreadsheetml/2010/11/main" uri="{983426D0-5260-488c-9760-48F4B6AC55F4}">
      <x15:pivotTableReferences>
        <x15:pivotTableReference r:id="rId35"/>
      </x15:pivotTableReferenc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ella5" name="programmazione" connection="WorksheetConnection_modello dati formazione (1).xlsm!Tabella5"/>
          <x15:modelTable id="Tabella4" name="docenti" connection="WorksheetConnection_modello dati formazione (1).xlsm!Tabella4"/>
          <x15:modelTable id="Tabella3" name="corsi" connection="WorksheetConnection_modello dati formazione (1).xlsm!Tabella3"/>
          <x15:modelTable id="Tabella1" name="sedi" connection="WorksheetConnection_modello dati formazione (1).xlsm!Tabella1"/>
        </x15:modelTables>
        <x15:modelRelationships>
          <x15:modelRelationship fromTable="programmazione" fromColumn="ID SEDE" toTable="sedi" toColumn="ID SEDE"/>
          <x15:modelRelationship fromTable="programmazione" fromColumn="ID CORSO" toTable="corsi" toColumn="ID CORSO"/>
          <x15:modelRelationship fromTable="programmazione" fromColumn="ID DOCENTE" toTable="docenti" toColumn="ID DOCENTE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programmazione" columnName="DATA INIZIO" columnId="DATA INIZIO">
                <x16:calculatedTimeColumn columnName="DATA INIZIO (indice mese)" columnId="DATA INIZIO (indice mese)" contentType="monthsindex" isSelected="1"/>
                <x16:calculatedTimeColumn columnName="DATA INIZIO (mese)" columnId="DATA INIZIO (mese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1" l="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H2" i="11"/>
  <c r="H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G17" i="9"/>
  <c r="G16" i="9"/>
  <c r="G15" i="9"/>
  <c r="G14" i="9"/>
  <c r="G13" i="9"/>
  <c r="G12" i="9"/>
  <c r="G11" i="9"/>
  <c r="G10" i="9"/>
  <c r="G9" i="9"/>
  <c r="G8" i="9"/>
  <c r="G7" i="9"/>
  <c r="G6" i="9"/>
  <c r="G5" i="9"/>
  <c r="G4" i="9"/>
  <c r="G3" i="9"/>
  <c r="G2" i="9"/>
  <c r="F17" i="10"/>
  <c r="F2" i="10"/>
  <c r="F3" i="10"/>
  <c r="F4" i="10"/>
  <c r="F5" i="10"/>
  <c r="F6" i="10"/>
  <c r="F7" i="10"/>
  <c r="F8" i="10"/>
  <c r="F9" i="10"/>
  <c r="F10" i="10"/>
  <c r="F11" i="10"/>
  <c r="F12" i="10"/>
  <c r="F13" i="10"/>
  <c r="F14" i="10"/>
  <c r="F15" i="10"/>
  <c r="F16" i="10"/>
  <c r="I15" i="23" l="1"/>
  <c r="Q3" i="5" a="1"/>
  <c r="Q3" i="5" s="1"/>
  <c r="V3" i="5" a="1"/>
  <c r="V3" i="5" s="1"/>
  <c r="P3" i="5"/>
  <c r="R3" i="5" a="1"/>
  <c r="R3" i="5" s="1"/>
  <c r="T3" i="5" a="1"/>
  <c r="T3" i="5" s="1"/>
  <c r="K1" i="11" a="1"/>
  <c r="K1" i="11" s="1"/>
  <c r="K1" i="9" a="1"/>
  <c r="K1" i="9" s="1"/>
  <c r="K1" i="10" a="1"/>
  <c r="K1" i="10" s="1"/>
  <c r="K1" i="8" a="1"/>
  <c r="K1" i="8" s="1"/>
  <c r="I11" i="23" l="1"/>
  <c r="I13" i="23"/>
  <c r="I12" i="2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FCE5680-B6F9-43A6-AC2D-86004448EE69}" keepAlive="1" name="ThisWorkbookDataModel" description="Modello di dati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4072FA5-4E31-49D4-9FE3-E386CA27D919}" name="WorksheetConnection_modello dati formazione (1).xlsm!Tabella1" type="102" refreshedVersion="8" minRefreshableVersion="5">
    <extLst>
      <ext xmlns:x15="http://schemas.microsoft.com/office/spreadsheetml/2010/11/main" uri="{DE250136-89BD-433C-8126-D09CA5730AF9}">
        <x15:connection id="Tabella1">
          <x15:rangePr sourceName="_xlcn.WorksheetConnection_modellodatiformazione1.xlsmTabella11"/>
        </x15:connection>
      </ext>
    </extLst>
  </connection>
  <connection id="3" xr16:uid="{4DF58EBE-0EA3-4759-81D6-6183BBF50BF9}" name="WorksheetConnection_modello dati formazione (1).xlsm!Tabella3" type="102" refreshedVersion="8" minRefreshableVersion="5">
    <extLst>
      <ext xmlns:x15="http://schemas.microsoft.com/office/spreadsheetml/2010/11/main" uri="{DE250136-89BD-433C-8126-D09CA5730AF9}">
        <x15:connection id="Tabella3">
          <x15:rangePr sourceName="_xlcn.WorksheetConnection_modellodatiformazione1.xlsmTabella31"/>
        </x15:connection>
      </ext>
    </extLst>
  </connection>
  <connection id="4" xr16:uid="{A089DB9F-20A3-4FE5-A279-5B2996CE2B91}" name="WorksheetConnection_modello dati formazione (1).xlsm!Tabella4" type="102" refreshedVersion="8" minRefreshableVersion="5">
    <extLst>
      <ext xmlns:x15="http://schemas.microsoft.com/office/spreadsheetml/2010/11/main" uri="{DE250136-89BD-433C-8126-D09CA5730AF9}">
        <x15:connection id="Tabella4">
          <x15:rangePr sourceName="_xlcn.WorksheetConnection_modellodatiformazione1.xlsmTabella41"/>
        </x15:connection>
      </ext>
    </extLst>
  </connection>
  <connection id="5" xr16:uid="{876EFBBF-5A4D-462B-AC3C-0FB3D2B6FB12}" name="WorksheetConnection_modello dati formazione (1).xlsm!Tabella5" type="102" refreshedVersion="8" minRefreshableVersion="5">
    <extLst>
      <ext xmlns:x15="http://schemas.microsoft.com/office/spreadsheetml/2010/11/main" uri="{DE250136-89BD-433C-8126-D09CA5730AF9}">
        <x15:connection id="Tabella5">
          <x15:rangePr sourceName="_xlcn.WorksheetConnection_modellodatiformazione1.xlsmTabella5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MDX" minSupportedVersion="120000" copy="1" pasteAll="1" pasteValues="1" merge="1" splitFirst="1" rowColShift="1" clearFormats="1" clearComments="1" assign="1" coerce="1"/>
  </metadataTypes>
  <metadataStrings count="2">
    <s v="ThisWorkbookDataModel"/>
    <s v="{[programmazione].[ID DOCENTE].&amp;[NIKOLA TESLA]}"/>
  </metadataStrings>
  <mdxMetadata count="1">
    <mdx n="0" f="s">
      <ms ns="1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<sst xmlns="http://schemas.openxmlformats.org/spreadsheetml/2006/main" count="481" uniqueCount="214">
  <si>
    <t>CENTRO DI FORMAZIONE RECUPERO ORE SCOLASTICHE</t>
  </si>
  <si>
    <t>Progettare e definire in Excel un sistema per la gestione di un centro di formazione per il recupero materie scolastiche (ITALIANO, MATEMATICA, INGLESE, FISICA).</t>
  </si>
  <si>
    <t>Il Cliente chiede di poter gestire i singoli corsi, i docenti e le sedi dei corsi e nello specifico:</t>
  </si>
  <si>
    <r>
      <t>·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Poter inserire per ogni corso TITOLO CORSO (es. ITALIANO, ITALIANO2, FISICA3, MATEMATICA, ecc.), IL PREZZO, LA DURATA IN ORE, DATA INIZIO e DATA FINE, IL DOCENTE e la SEDE (le sedi possono essere ONLINE, BOLOGNA, NAPOLI e BARI)</t>
    </r>
  </si>
  <si>
    <r>
      <t>·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Poter inserire per ogni docente CITTA’ RESIDENZA, DATA NASCITA e la MATERIA (ogni docente si occupa di una sola materia ma può seguire più corsi per la stessa materia su tutte le sedi)</t>
    </r>
  </si>
  <si>
    <r>
      <t>·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Poter inserire le SEDI dei corsi in base a CITTA’ (compresa ONLINE), INDIRIZZO, CAPIENZA AULA (ogni sede ha una sola aula).</t>
    </r>
  </si>
  <si>
    <t>Il sistema dovrà essere in grado di rispondere alle seguenti domande:</t>
  </si>
  <si>
    <r>
      <t>1.</t>
    </r>
    <r>
      <rPr>
        <sz val="7"/>
        <color theme="1"/>
        <rFont val="Times New Roman"/>
        <family val="1"/>
      </rPr>
      <t xml:space="preserve">     </t>
    </r>
    <r>
      <rPr>
        <sz val="11"/>
        <color theme="1"/>
        <rFont val="Calibri"/>
        <family val="2"/>
        <scheme val="minor"/>
      </rPr>
      <t>Una volta definite le Entità/Tabelle da utilizzare, riempire ogni tabella in un file diverso EXCEL con almeno 30 righe per i corsi, 10 righe per i docenti e 4 righe per le sedi.</t>
    </r>
  </si>
  <si>
    <r>
      <t>2.</t>
    </r>
    <r>
      <rPr>
        <sz val="7"/>
        <color theme="1"/>
        <rFont val="Times New Roman"/>
        <family val="1"/>
      </rPr>
      <t xml:space="preserve">     </t>
    </r>
    <r>
      <rPr>
        <sz val="11"/>
        <color theme="1"/>
        <rFont val="Calibri"/>
        <family val="2"/>
        <scheme val="minor"/>
      </rPr>
      <t>Creare un nuovo file dal nome MODELLO DATI FORMAZIONE.xlsx dove importare tramite POWER QUERY le singole entità.</t>
    </r>
  </si>
  <si>
    <r>
      <t>3.</t>
    </r>
    <r>
      <rPr>
        <sz val="7"/>
        <color theme="1"/>
        <rFont val="Times New Roman"/>
        <family val="1"/>
      </rPr>
      <t xml:space="preserve">     </t>
    </r>
    <r>
      <rPr>
        <sz val="11"/>
        <color theme="1"/>
        <rFont val="Calibri"/>
        <family val="2"/>
        <scheme val="minor"/>
      </rPr>
      <t>Creare un modello tramite POWERPIVOT</t>
    </r>
  </si>
  <si>
    <r>
      <t>4.</t>
    </r>
    <r>
      <rPr>
        <sz val="7"/>
        <color theme="1"/>
        <rFont val="Times New Roman"/>
        <family val="1"/>
      </rPr>
      <t xml:space="preserve">     </t>
    </r>
    <r>
      <rPr>
        <sz val="11"/>
        <color theme="1"/>
        <rFont val="Calibri"/>
        <family val="2"/>
        <scheme val="minor"/>
      </rPr>
      <t>Creare le relazioni necessarie.</t>
    </r>
  </si>
  <si>
    <r>
      <t>5.</t>
    </r>
    <r>
      <rPr>
        <sz val="7"/>
        <color theme="1"/>
        <rFont val="Times New Roman"/>
        <family val="1"/>
      </rPr>
      <t xml:space="preserve">     </t>
    </r>
    <r>
      <rPr>
        <sz val="11"/>
        <color theme="1"/>
        <rFont val="Calibri"/>
        <family val="2"/>
        <scheme val="minor"/>
      </rPr>
      <t>Rappresentare graficamente (maschere, tabelle/grafici pivot) i dati richiesti.</t>
    </r>
  </si>
  <si>
    <r>
      <t>6.</t>
    </r>
    <r>
      <rPr>
        <sz val="7"/>
        <color theme="1"/>
        <rFont val="Times New Roman"/>
        <family val="1"/>
      </rPr>
      <t xml:space="preserve">     </t>
    </r>
    <r>
      <rPr>
        <sz val="11"/>
        <color theme="1"/>
        <rFont val="Calibri"/>
        <family val="2"/>
        <scheme val="minor"/>
      </rPr>
      <t>Scrivere in un foglio dal nome RELAZIONE una piccola relazione per spiegare come avete deciso di impostare il lavoro (entità utilizzate, chiavi primarie e esterne utilizzate, formato e dimensione del campo (lunghezza testo), relazioni definite e se avete utilizzato MASCHERE usando funzioni excel o TABELLE/GRAFICI PIVOT.</t>
    </r>
  </si>
  <si>
    <t>Buon lavoro</t>
  </si>
  <si>
    <t>ID CORSO</t>
  </si>
  <si>
    <t>TITOLO</t>
  </si>
  <si>
    <t>MATERIA</t>
  </si>
  <si>
    <t>PREZZO</t>
  </si>
  <si>
    <t>ORE</t>
  </si>
  <si>
    <t>ID DOCENTE</t>
  </si>
  <si>
    <t>NOME</t>
  </si>
  <si>
    <t>COGNOME</t>
  </si>
  <si>
    <t>DATA DI NASCITA</t>
  </si>
  <si>
    <t>CITTA' DI RESIDENZA</t>
  </si>
  <si>
    <t>ID SEDE</t>
  </si>
  <si>
    <t>DENOMINAZIONE</t>
  </si>
  <si>
    <t>CITTA'</t>
  </si>
  <si>
    <t>INDIRIZZO</t>
  </si>
  <si>
    <t>CAPIENZA</t>
  </si>
  <si>
    <t>ID PROGRAMMAZIONE</t>
  </si>
  <si>
    <t>DATA INIZIO</t>
  </si>
  <si>
    <t>DATA FINE</t>
  </si>
  <si>
    <t>Nome sede</t>
  </si>
  <si>
    <t>Città</t>
  </si>
  <si>
    <t>Indirizzo</t>
  </si>
  <si>
    <t>Capienza</t>
  </si>
  <si>
    <t>Nome</t>
  </si>
  <si>
    <t>Cognome</t>
  </si>
  <si>
    <t>Data di nascita</t>
  </si>
  <si>
    <t>Materia</t>
  </si>
  <si>
    <t>Titolo</t>
  </si>
  <si>
    <t>Prezzo</t>
  </si>
  <si>
    <t>Ore</t>
  </si>
  <si>
    <t>Corso</t>
  </si>
  <si>
    <t>Docente</t>
  </si>
  <si>
    <t>Sede</t>
  </si>
  <si>
    <t>Data di inizio</t>
  </si>
  <si>
    <t>Data di fine</t>
  </si>
  <si>
    <t>contatore</t>
  </si>
  <si>
    <t>sede.1</t>
  </si>
  <si>
    <t>corso.1</t>
  </si>
  <si>
    <t>NOMINATIVO COMPLETO</t>
  </si>
  <si>
    <t>ONLINE</t>
  </si>
  <si>
    <t>BOLOGNA</t>
  </si>
  <si>
    <t>ITALIANO 1</t>
  </si>
  <si>
    <t>ITALIANO</t>
  </si>
  <si>
    <t>docente.1</t>
  </si>
  <si>
    <t>DANTE</t>
  </si>
  <si>
    <t>ALIGHIERI</t>
  </si>
  <si>
    <t>FIRENZE</t>
  </si>
  <si>
    <t>sede.2</t>
  </si>
  <si>
    <t>NAPOLI</t>
  </si>
  <si>
    <t>sede.3</t>
  </si>
  <si>
    <t>BARI</t>
  </si>
  <si>
    <t>sede.4</t>
  </si>
  <si>
    <t>ITALIANO 2</t>
  </si>
  <si>
    <t>corso.2</t>
  </si>
  <si>
    <t>ITALIANO 3</t>
  </si>
  <si>
    <t>corso.3</t>
  </si>
  <si>
    <t>MATEMATICA</t>
  </si>
  <si>
    <t>corso.4</t>
  </si>
  <si>
    <t>corso.5</t>
  </si>
  <si>
    <t>FISICA 1</t>
  </si>
  <si>
    <t>FISICA</t>
  </si>
  <si>
    <t>corso.6</t>
  </si>
  <si>
    <t>FISICA 2</t>
  </si>
  <si>
    <t>corso.7</t>
  </si>
  <si>
    <t>INGLESE 1</t>
  </si>
  <si>
    <t>INGLESE</t>
  </si>
  <si>
    <t>corso.8</t>
  </si>
  <si>
    <t>corso.9</t>
  </si>
  <si>
    <t>corso.10</t>
  </si>
  <si>
    <t>ALBERT</t>
  </si>
  <si>
    <t>EINSTEIN</t>
  </si>
  <si>
    <t>ROMA</t>
  </si>
  <si>
    <t>JOHN</t>
  </si>
  <si>
    <t>WATSON</t>
  </si>
  <si>
    <t>docente.2</t>
  </si>
  <si>
    <t>docente.3</t>
  </si>
  <si>
    <t>docente.4</t>
  </si>
  <si>
    <t>programmazione.1</t>
  </si>
  <si>
    <t>ALBERT EINSTEIN</t>
  </si>
  <si>
    <t>programmazione.2</t>
  </si>
  <si>
    <t>programmazione.3</t>
  </si>
  <si>
    <r>
      <t>·</t>
    </r>
    <r>
      <rPr>
        <sz val="7"/>
        <color theme="1"/>
        <rFont val="Times New Roman"/>
        <family val="1"/>
      </rPr>
      <t xml:space="preserve">  1     </t>
    </r>
    <r>
      <rPr>
        <sz val="11"/>
        <color theme="1"/>
        <rFont val="Calibri"/>
        <family val="2"/>
        <scheme val="minor"/>
      </rPr>
      <t>Quali corsi svolge un docente (TITOLO CORSO) e in quali sedi</t>
    </r>
  </si>
  <si>
    <r>
      <t>·</t>
    </r>
    <r>
      <rPr>
        <sz val="7"/>
        <color theme="1"/>
        <rFont val="Times New Roman"/>
        <family val="1"/>
      </rPr>
      <t xml:space="preserve">     2  </t>
    </r>
    <r>
      <rPr>
        <sz val="11"/>
        <color theme="1"/>
        <rFont val="Calibri"/>
        <family val="2"/>
        <scheme val="minor"/>
      </rPr>
      <t>PREZZO medio totale dei corsi proposti con possibilità di scegliere la SEDE e il DOCENTE</t>
    </r>
  </si>
  <si>
    <r>
      <t>·</t>
    </r>
    <r>
      <rPr>
        <sz val="7"/>
        <color theme="1"/>
        <rFont val="Times New Roman"/>
        <family val="1"/>
      </rPr>
      <t xml:space="preserve">    3   </t>
    </r>
    <r>
      <rPr>
        <sz val="11"/>
        <color theme="1"/>
        <rFont val="Calibri"/>
        <family val="2"/>
        <scheme val="minor"/>
      </rPr>
      <t>Durata totale dei corsi per DOCENTE e per SEDE</t>
    </r>
  </si>
  <si>
    <r>
      <t>·</t>
    </r>
    <r>
      <rPr>
        <sz val="7"/>
        <color theme="1"/>
        <rFont val="Times New Roman"/>
        <family val="1"/>
      </rPr>
      <t xml:space="preserve">     4  </t>
    </r>
    <r>
      <rPr>
        <sz val="11"/>
        <color theme="1"/>
        <rFont val="Calibri"/>
        <family val="2"/>
        <scheme val="minor"/>
      </rPr>
      <t>Analisi completa (tutto quello che riuscite ad analizzare) dei corsi per SEDE, DOCENTE e MATERIA</t>
    </r>
  </si>
  <si>
    <r>
      <t>·</t>
    </r>
    <r>
      <rPr>
        <sz val="7"/>
        <color theme="1"/>
        <rFont val="Times New Roman"/>
        <family val="1"/>
      </rPr>
      <t xml:space="preserve">    5   </t>
    </r>
    <r>
      <rPr>
        <sz val="11"/>
        <color theme="1"/>
        <rFont val="Calibri"/>
        <family val="2"/>
        <scheme val="minor"/>
      </rPr>
      <t>Quanti DOCENTE per ogni MATERIA e per OGNI CITTA’</t>
    </r>
  </si>
  <si>
    <t>docente.5</t>
  </si>
  <si>
    <t>docente.12</t>
  </si>
  <si>
    <t>docente.11</t>
  </si>
  <si>
    <t>docente.10</t>
  </si>
  <si>
    <t>MARIA CHIARA</t>
  </si>
  <si>
    <t>BIONDI</t>
  </si>
  <si>
    <t>docente.15</t>
  </si>
  <si>
    <t>docente.7</t>
  </si>
  <si>
    <t>SIMONA</t>
  </si>
  <si>
    <t>REALE</t>
  </si>
  <si>
    <t>FRANCESCO</t>
  </si>
  <si>
    <t>IPPOLITO</t>
  </si>
  <si>
    <t>docente.16</t>
  </si>
  <si>
    <t>docente.9</t>
  </si>
  <si>
    <t>docente.6</t>
  </si>
  <si>
    <t>docente.13</t>
  </si>
  <si>
    <t>ALESSANDRA</t>
  </si>
  <si>
    <t>GUERRIERO</t>
  </si>
  <si>
    <t>ANDREA</t>
  </si>
  <si>
    <t>PORTANOVA</t>
  </si>
  <si>
    <t>docente.8</t>
  </si>
  <si>
    <t>ENZA</t>
  </si>
  <si>
    <t>LOSAPPIO</t>
  </si>
  <si>
    <t>docente.14</t>
  </si>
  <si>
    <t>GIULIA</t>
  </si>
  <si>
    <t>VOCINO</t>
  </si>
  <si>
    <t>corso.11</t>
  </si>
  <si>
    <t>corso.12</t>
  </si>
  <si>
    <t>INGLESE 2</t>
  </si>
  <si>
    <t>corso.13</t>
  </si>
  <si>
    <t>corso.14</t>
  </si>
  <si>
    <t>FRANCA</t>
  </si>
  <si>
    <t>DE BELLIS</t>
  </si>
  <si>
    <t>RAVENNA</t>
  </si>
  <si>
    <t>CHIARA</t>
  </si>
  <si>
    <t>RAPELLI</t>
  </si>
  <si>
    <t>CATANIA</t>
  </si>
  <si>
    <t>programmazione.4</t>
  </si>
  <si>
    <t>JOHN WATSON</t>
  </si>
  <si>
    <t>DANTE ALIGHIERI</t>
  </si>
  <si>
    <t>programmazione.5</t>
  </si>
  <si>
    <t>ANDREA PORTANOVA</t>
  </si>
  <si>
    <t>programmazione.6</t>
  </si>
  <si>
    <t>programmazione.7</t>
  </si>
  <si>
    <t>programmazione.8</t>
  </si>
  <si>
    <t>programmazione.9</t>
  </si>
  <si>
    <t>programmazione.10</t>
  </si>
  <si>
    <t>programmazione.11</t>
  </si>
  <si>
    <t>programmazione.12</t>
  </si>
  <si>
    <t>programmazione.13</t>
  </si>
  <si>
    <t>programmazione.14</t>
  </si>
  <si>
    <t>programmazione.15</t>
  </si>
  <si>
    <t>programmazione.16</t>
  </si>
  <si>
    <t>SIMONA REALE</t>
  </si>
  <si>
    <t>Totale complessivo</t>
  </si>
  <si>
    <t>ENZA LOSAPPIO</t>
  </si>
  <si>
    <t>SEDE</t>
  </si>
  <si>
    <t xml:space="preserve"> CORSO</t>
  </si>
  <si>
    <t>DOCENTE</t>
  </si>
  <si>
    <t>PROGRAMMAZIONE</t>
  </si>
  <si>
    <t>corso.15</t>
  </si>
  <si>
    <t>SCEGLI DOCENTE</t>
  </si>
  <si>
    <t>MONTE ORE</t>
  </si>
  <si>
    <t>CONTEGGIO DOCENTI</t>
  </si>
  <si>
    <t>COSTO TOTALE</t>
  </si>
  <si>
    <t>TOTALE COMPENSO</t>
  </si>
  <si>
    <t>TOP10 COMPENSI</t>
  </si>
  <si>
    <t>CAPIENZA SEDI</t>
  </si>
  <si>
    <t>CORSO</t>
  </si>
  <si>
    <r>
      <t>CITT</t>
    </r>
    <r>
      <rPr>
        <sz val="16"/>
        <color theme="0"/>
        <rFont val="Calibri"/>
        <family val="2"/>
      </rPr>
      <t>À</t>
    </r>
  </si>
  <si>
    <t>CORSO CAVOUR, 8</t>
  </si>
  <si>
    <t xml:space="preserve">BOLOGNA </t>
  </si>
  <si>
    <t>VIA ZAMBONI, 103</t>
  </si>
  <si>
    <t>VIA TERRACINA, 100</t>
  </si>
  <si>
    <t>ITALIANO 4</t>
  </si>
  <si>
    <t>MATEMATICA 1</t>
  </si>
  <si>
    <t>MATEMATICA 2</t>
  </si>
  <si>
    <t>MATEMATICA 3</t>
  </si>
  <si>
    <t>MATEMATICA 4</t>
  </si>
  <si>
    <t>INGLESE 3</t>
  </si>
  <si>
    <t>INGLESE 4</t>
  </si>
  <si>
    <t>FISICA 3</t>
  </si>
  <si>
    <t>corso.16</t>
  </si>
  <si>
    <t>FISICA 4</t>
  </si>
  <si>
    <t>LEONARDO</t>
  </si>
  <si>
    <t>FIBONACCI</t>
  </si>
  <si>
    <t>ISAAC</t>
  </si>
  <si>
    <t>NEWTON</t>
  </si>
  <si>
    <t>MILANO</t>
  </si>
  <si>
    <t>NICOLO'</t>
  </si>
  <si>
    <t>COPERNICO</t>
  </si>
  <si>
    <t>NIKOLA</t>
  </si>
  <si>
    <t>TESLA</t>
  </si>
  <si>
    <t>ALESSANDRA GUERRIERO</t>
  </si>
  <si>
    <t>FRANCA DE BELLIS</t>
  </si>
  <si>
    <t>LEONARDO FIBONACCI</t>
  </si>
  <si>
    <t>GIULIA VOCINO</t>
  </si>
  <si>
    <t>MARIA CHIARA BIONDI</t>
  </si>
  <si>
    <t>ISAAC NEWTON</t>
  </si>
  <si>
    <t>NICOLO' COPERNICO</t>
  </si>
  <si>
    <t>NIKOLA TESLA</t>
  </si>
  <si>
    <t>FRANCESCO IPPOLITO</t>
  </si>
  <si>
    <t>CHIARA RAPELLI</t>
  </si>
  <si>
    <t>FATTURATO CORSO</t>
  </si>
  <si>
    <t>Somma di COSTO TOTALE</t>
  </si>
  <si>
    <t>Somma di ORE</t>
  </si>
  <si>
    <t>Somma di PREZZO</t>
  </si>
  <si>
    <t>Etichette di riga</t>
  </si>
  <si>
    <t>(vuoto)</t>
  </si>
  <si>
    <t>Somma di FATTURATO CORSO</t>
  </si>
  <si>
    <t>Etichette di colonna</t>
  </si>
  <si>
    <t>apr</t>
  </si>
  <si>
    <t>mag</t>
  </si>
  <si>
    <t>giu</t>
  </si>
  <si>
    <t>ORE DEI CORSI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</si>
</sst>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-* #,##0.00\ &quot;€&quot;_-;\-* #,##0.00\ &quot;€&quot;_-;_-* &quot;-&quot;??\ &quot;€&quot;_-;_-@_-"/>
    <numFmt numFmtId="164" formatCode="#,##0.00\ &quot;€&quot;"/>
    <numFmt numFmtId="165" formatCode="_-* #,##0.00\ [$€-410]_-;\-* #,##0.00\ [$€-410]_-;_-* &quot;-&quot;??\ [$€-410]_-;_-@_-"/>
  </numFmts>
  <fonts count="1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sz val="7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0"/>
      <name val="Calibri"/>
      <family val="2"/>
    </font>
    <font>
      <sz val="11"/>
      <name val="Calibri"/>
      <family val="2"/>
      <scheme val="minor"/>
    </font>
    <font>
      <b/>
      <sz val="12"/>
      <color rgb="FF002060"/>
      <name val="Calibri"/>
      <family val="2"/>
      <scheme val="minor"/>
    </font>
    <font>
      <b/>
      <sz val="14"/>
      <color rgb="FF00206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theme="2" tint="-9.9948118533890809E-2"/>
      </patternFill>
    </fill>
    <fill>
      <patternFill patternType="solid">
        <fgColor rgb="FF002060"/>
        <bgColor theme="2" tint="-9.9948118533890809E-2"/>
      </patternFill>
    </fill>
    <fill>
      <patternFill patternType="solid">
        <fgColor rgb="FF002060"/>
        <bgColor theme="4" tint="-0.499984740745262"/>
      </patternFill>
    </fill>
    <fill>
      <patternFill patternType="solid">
        <fgColor theme="5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44" fontId="9" fillId="0" borderId="0" applyFont="0" applyFill="0" applyBorder="0" applyAlignment="0" applyProtection="0"/>
  </cellStyleXfs>
  <cellXfs count="91">
    <xf numFmtId="0" fontId="0" fillId="0" borderId="0" xfId="0"/>
    <xf numFmtId="0" fontId="2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wrapText="1"/>
    </xf>
    <xf numFmtId="0" fontId="3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2" borderId="2" xfId="0" applyFill="1" applyBorder="1"/>
    <xf numFmtId="0" fontId="0" fillId="3" borderId="1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2" xfId="0" applyFill="1" applyBorder="1"/>
    <xf numFmtId="0" fontId="0" fillId="2" borderId="8" xfId="0" applyFill="1" applyBorder="1"/>
    <xf numFmtId="1" fontId="0" fillId="2" borderId="2" xfId="0" applyNumberFormat="1" applyFill="1" applyBorder="1"/>
    <xf numFmtId="0" fontId="0" fillId="0" borderId="7" xfId="0" applyBorder="1"/>
    <xf numFmtId="14" fontId="0" fillId="0" borderId="0" xfId="0" applyNumberFormat="1"/>
    <xf numFmtId="164" fontId="0" fillId="0" borderId="0" xfId="0" applyNumberFormat="1"/>
    <xf numFmtId="0" fontId="3" fillId="4" borderId="0" xfId="0" applyFont="1" applyFill="1" applyAlignment="1">
      <alignment horizontal="left" vertical="center" wrapText="1"/>
    </xf>
    <xf numFmtId="0" fontId="7" fillId="3" borderId="1" xfId="0" applyFont="1" applyFill="1" applyBorder="1" applyAlignment="1">
      <alignment horizontal="right"/>
    </xf>
    <xf numFmtId="0" fontId="0" fillId="6" borderId="1" xfId="0" applyFill="1" applyBorder="1"/>
    <xf numFmtId="0" fontId="7" fillId="6" borderId="1" xfId="0" applyFont="1" applyFill="1" applyBorder="1" applyAlignment="1">
      <alignment horizontal="right"/>
    </xf>
    <xf numFmtId="0" fontId="0" fillId="6" borderId="2" xfId="0" applyFill="1" applyBorder="1"/>
    <xf numFmtId="0" fontId="0" fillId="6" borderId="4" xfId="0" applyFill="1" applyBorder="1"/>
    <xf numFmtId="0" fontId="0" fillId="6" borderId="3" xfId="0" applyFill="1" applyBorder="1"/>
    <xf numFmtId="0" fontId="0" fillId="7" borderId="2" xfId="0" applyFill="1" applyBorder="1"/>
    <xf numFmtId="0" fontId="0" fillId="7" borderId="4" xfId="0" applyFill="1" applyBorder="1"/>
    <xf numFmtId="0" fontId="0" fillId="7" borderId="1" xfId="0" applyFill="1" applyBorder="1"/>
    <xf numFmtId="0" fontId="7" fillId="7" borderId="1" xfId="0" applyFont="1" applyFill="1" applyBorder="1" applyAlignment="1">
      <alignment horizontal="right"/>
    </xf>
    <xf numFmtId="0" fontId="0" fillId="7" borderId="3" xfId="0" applyFill="1" applyBorder="1"/>
    <xf numFmtId="0" fontId="0" fillId="8" borderId="4" xfId="0" applyFill="1" applyBorder="1"/>
    <xf numFmtId="0" fontId="7" fillId="8" borderId="1" xfId="0" applyFont="1" applyFill="1" applyBorder="1" applyAlignment="1">
      <alignment horizontal="right"/>
    </xf>
    <xf numFmtId="0" fontId="0" fillId="8" borderId="1" xfId="0" applyFill="1" applyBorder="1"/>
    <xf numFmtId="0" fontId="0" fillId="8" borderId="2" xfId="0" applyFill="1" applyBorder="1"/>
    <xf numFmtId="0" fontId="0" fillId="8" borderId="3" xfId="0" applyFill="1" applyBorder="1"/>
    <xf numFmtId="0" fontId="0" fillId="9" borderId="0" xfId="0" applyFill="1" applyAlignment="1">
      <alignment vertical="center"/>
    </xf>
    <xf numFmtId="0" fontId="11" fillId="9" borderId="0" xfId="0" applyFont="1" applyFill="1" applyAlignment="1">
      <alignment vertical="center"/>
    </xf>
    <xf numFmtId="0" fontId="0" fillId="9" borderId="0" xfId="0" applyFill="1"/>
    <xf numFmtId="165" fontId="0" fillId="0" borderId="0" xfId="0" applyNumberFormat="1"/>
    <xf numFmtId="0" fontId="0" fillId="9" borderId="13" xfId="0" applyFill="1" applyBorder="1"/>
    <xf numFmtId="0" fontId="12" fillId="10" borderId="11" xfId="0" applyFont="1" applyFill="1" applyBorder="1"/>
    <xf numFmtId="0" fontId="12" fillId="10" borderId="6" xfId="0" applyFont="1" applyFill="1" applyBorder="1"/>
    <xf numFmtId="0" fontId="11" fillId="9" borderId="6" xfId="0" applyFont="1" applyFill="1" applyBorder="1"/>
    <xf numFmtId="0" fontId="10" fillId="5" borderId="0" xfId="0" applyFont="1" applyFill="1" applyAlignment="1">
      <alignment horizontal="right"/>
    </xf>
    <xf numFmtId="0" fontId="11" fillId="9" borderId="3" xfId="0" applyFont="1" applyFill="1" applyBorder="1"/>
    <xf numFmtId="0" fontId="0" fillId="2" borderId="0" xfId="0" applyFill="1"/>
    <xf numFmtId="0" fontId="13" fillId="10" borderId="9" xfId="0" applyFont="1" applyFill="1" applyBorder="1" applyAlignment="1">
      <alignment vertical="center"/>
    </xf>
    <xf numFmtId="0" fontId="13" fillId="10" borderId="12" xfId="0" applyFont="1" applyFill="1" applyBorder="1" applyAlignment="1">
      <alignment vertical="center"/>
    </xf>
    <xf numFmtId="14" fontId="13" fillId="10" borderId="10" xfId="0" applyNumberFormat="1" applyFont="1" applyFill="1" applyBorder="1" applyAlignment="1">
      <alignment horizontal="right" vertical="center"/>
    </xf>
    <xf numFmtId="0" fontId="13" fillId="10" borderId="1" xfId="0" applyFont="1" applyFill="1" applyBorder="1" applyAlignment="1">
      <alignment vertical="center"/>
    </xf>
    <xf numFmtId="0" fontId="10" fillId="10" borderId="0" xfId="0" applyFont="1" applyFill="1" applyAlignment="1">
      <alignment vertical="center"/>
    </xf>
    <xf numFmtId="0" fontId="13" fillId="10" borderId="2" xfId="0" applyFont="1" applyFill="1" applyBorder="1" applyAlignment="1">
      <alignment horizontal="right"/>
    </xf>
    <xf numFmtId="0" fontId="13" fillId="10" borderId="3" xfId="0" applyFont="1" applyFill="1" applyBorder="1" applyAlignment="1">
      <alignment vertical="center"/>
    </xf>
    <xf numFmtId="0" fontId="10" fillId="10" borderId="13" xfId="0" applyFont="1" applyFill="1" applyBorder="1"/>
    <xf numFmtId="0" fontId="13" fillId="10" borderId="4" xfId="0" applyFont="1" applyFill="1" applyBorder="1" applyAlignment="1">
      <alignment horizontal="right"/>
    </xf>
    <xf numFmtId="0" fontId="13" fillId="10" borderId="5" xfId="0" applyFont="1" applyFill="1" applyBorder="1" applyAlignment="1">
      <alignment vertical="center"/>
    </xf>
    <xf numFmtId="0" fontId="10" fillId="10" borderId="14" xfId="0" applyFont="1" applyFill="1" applyBorder="1"/>
    <xf numFmtId="44" fontId="13" fillId="10" borderId="6" xfId="1" applyFont="1" applyFill="1" applyBorder="1" applyAlignment="1">
      <alignment vertical="center"/>
    </xf>
    <xf numFmtId="0" fontId="5" fillId="2" borderId="0" xfId="0" applyFont="1" applyFill="1"/>
    <xf numFmtId="0" fontId="5" fillId="2" borderId="0" xfId="0" applyFont="1" applyFill="1" applyAlignment="1">
      <alignment horizontal="left"/>
    </xf>
    <xf numFmtId="164" fontId="5" fillId="2" borderId="0" xfId="0" applyNumberFormat="1" applyFont="1" applyFill="1"/>
    <xf numFmtId="0" fontId="5" fillId="2" borderId="0" xfId="0" applyFont="1" applyFill="1" applyAlignment="1">
      <alignment horizontal="left" indent="1"/>
    </xf>
    <xf numFmtId="0" fontId="1" fillId="5" borderId="0" xfId="0" applyFont="1" applyFill="1" applyAlignment="1">
      <alignment horizontal="left"/>
    </xf>
    <xf numFmtId="0" fontId="10" fillId="11" borderId="0" xfId="0" applyFont="1" applyFill="1" applyAlignment="1">
      <alignment horizontal="right"/>
    </xf>
    <xf numFmtId="164" fontId="0" fillId="2" borderId="8" xfId="0" applyNumberFormat="1" applyFill="1" applyBorder="1"/>
    <xf numFmtId="14" fontId="0" fillId="2" borderId="2" xfId="0" applyNumberFormat="1" applyFill="1" applyBorder="1"/>
    <xf numFmtId="14" fontId="0" fillId="2" borderId="8" xfId="0" applyNumberFormat="1" applyFill="1" applyBorder="1"/>
    <xf numFmtId="0" fontId="15" fillId="9" borderId="0" xfId="0" applyFont="1" applyFill="1"/>
    <xf numFmtId="0" fontId="1" fillId="5" borderId="0" xfId="0" applyFont="1" applyFill="1" applyAlignment="1">
      <alignment horizontal="right"/>
    </xf>
    <xf numFmtId="0" fontId="0" fillId="0" borderId="17" xfId="0" applyBorder="1"/>
    <xf numFmtId="14" fontId="0" fillId="0" borderId="17" xfId="0" applyNumberFormat="1" applyBorder="1"/>
    <xf numFmtId="0" fontId="0" fillId="0" borderId="18" xfId="0" applyBorder="1"/>
    <xf numFmtId="0" fontId="16" fillId="12" borderId="16" xfId="0" applyFont="1" applyFill="1" applyBorder="1"/>
    <xf numFmtId="0" fontId="17" fillId="12" borderId="15" xfId="0" applyFont="1" applyFill="1" applyBorder="1" applyAlignment="1">
      <alignment horizontal="left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8" fillId="5" borderId="5" xfId="0" applyFont="1" applyFill="1" applyBorder="1" applyAlignment="1">
      <alignment horizontal="center" vertical="center" wrapText="1"/>
    </xf>
    <xf numFmtId="0" fontId="1" fillId="5" borderId="6" xfId="0" applyFont="1" applyFill="1" applyBorder="1" applyAlignment="1">
      <alignment horizontal="center" vertical="center" wrapText="1"/>
    </xf>
    <xf numFmtId="0" fontId="8" fillId="5" borderId="9" xfId="0" applyFont="1" applyFill="1" applyBorder="1" applyAlignment="1">
      <alignment horizontal="center" vertical="center" wrapText="1"/>
    </xf>
    <xf numFmtId="0" fontId="8" fillId="5" borderId="10" xfId="0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 wrapText="1"/>
    </xf>
    <xf numFmtId="14" fontId="11" fillId="9" borderId="0" xfId="0" applyNumberFormat="1" applyFont="1" applyFill="1" applyAlignment="1">
      <alignment horizontal="center" vertical="center"/>
    </xf>
    <xf numFmtId="0" fontId="11" fillId="9" borderId="0" xfId="0" applyFont="1" applyFill="1" applyAlignment="1">
      <alignment horizontal="center" vertical="center"/>
    </xf>
    <xf numFmtId="0" fontId="0" fillId="0" borderId="0" xfId="0" applyNumberFormat="1"/>
    <xf numFmtId="0" fontId="5" fillId="2" borderId="0" xfId="0" applyNumberFormat="1" applyFont="1" applyFill="1"/>
    <xf numFmtId="0" fontId="1" fillId="5" borderId="0" xfId="0" applyNumberFormat="1" applyFont="1" applyFill="1"/>
    <xf numFmtId="0" fontId="5" fillId="5" borderId="0" xfId="0" applyFont="1" applyFill="1" applyAlignment="1">
      <alignment horizontal="left"/>
    </xf>
    <xf numFmtId="0" fontId="5" fillId="5" borderId="0" xfId="0" applyNumberFormat="1" applyFont="1" applyFill="1"/>
    <xf numFmtId="0" fontId="1" fillId="11" borderId="0" xfId="0" applyFont="1" applyFill="1" applyAlignment="1">
      <alignment horizontal="left"/>
    </xf>
    <xf numFmtId="0" fontId="1" fillId="11" borderId="0" xfId="0" applyFont="1" applyFill="1"/>
  </cellXfs>
  <cellStyles count="2">
    <cellStyle name="Normale" xfId="0" builtinId="0"/>
    <cellStyle name="Valuta" xfId="1" builtinId="4"/>
  </cellStyles>
  <dxfs count="242">
    <dxf>
      <fill>
        <patternFill>
          <bgColor theme="2" tint="-9.9978637043366805E-2"/>
        </patternFill>
      </fill>
    </dxf>
    <dxf>
      <fill>
        <patternFill>
          <bgColor theme="2" tint="-9.9978637043366805E-2"/>
        </patternFill>
      </fill>
    </dxf>
    <dxf>
      <fill>
        <patternFill>
          <bgColor theme="2" tint="-9.9978637043366805E-2"/>
        </patternFill>
      </fill>
    </dxf>
    <dxf>
      <fill>
        <patternFill>
          <bgColor theme="2" tint="-9.9978637043366805E-2"/>
        </patternFill>
      </fill>
    </dxf>
    <dxf>
      <fill>
        <patternFill>
          <bgColor theme="2" tint="-9.9978637043366805E-2"/>
        </patternFill>
      </fill>
    </dxf>
    <dxf>
      <numFmt numFmtId="164" formatCode="#,##0.00\ &quot;€&quot;"/>
    </dxf>
    <dxf>
      <fill>
        <patternFill>
          <bgColor theme="4" tint="-0.499984740745262"/>
        </patternFill>
      </fill>
    </dxf>
    <dxf>
      <font>
        <color theme="0"/>
      </font>
    </dxf>
    <dxf>
      <font>
        <b/>
      </font>
    </dxf>
    <dxf>
      <font>
        <b/>
      </font>
    </dxf>
    <dxf>
      <alignment horizontal="right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theme="4" tint="-0.499984740745262"/>
        </patternFill>
      </fill>
    </dxf>
    <dxf>
      <fill>
        <patternFill>
          <bgColor rgb="FF002060"/>
        </patternFill>
      </fill>
    </dxf>
    <dxf>
      <fill>
        <patternFill>
          <bgColor theme="4" tint="-0.499984740745262"/>
        </patternFill>
      </fill>
    </dxf>
    <dxf>
      <fill>
        <patternFill>
          <bgColor rgb="FF002060"/>
        </patternFill>
      </fill>
    </dxf>
    <dxf>
      <fill>
        <patternFill>
          <bgColor theme="4" tint="-0.499984740745262"/>
        </patternFill>
      </fill>
    </dxf>
    <dxf>
      <fill>
        <patternFill>
          <bgColor rgb="FF002060"/>
        </patternFill>
      </fill>
    </dxf>
    <dxf>
      <fill>
        <patternFill>
          <bgColor theme="4" tint="-0.499984740745262"/>
        </patternFill>
      </fill>
    </dxf>
    <dxf>
      <fill>
        <patternFill>
          <bgColor rgb="FF002060"/>
        </patternFill>
      </fill>
    </dxf>
    <dxf>
      <fill>
        <patternFill>
          <bgColor theme="4" tint="-0.499984740745262"/>
        </patternFill>
      </fill>
    </dxf>
    <dxf>
      <fill>
        <patternFill>
          <bgColor rgb="FF002060"/>
        </patternFill>
      </fill>
    </dxf>
    <dxf>
      <fill>
        <patternFill>
          <bgColor theme="4" tint="-0.499984740745262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theme="4" tint="-0.499984740745262"/>
        </patternFill>
      </fill>
    </dxf>
    <dxf>
      <fill>
        <patternFill>
          <bgColor rgb="FF002060"/>
        </patternFill>
      </fill>
    </dxf>
    <dxf>
      <fill>
        <patternFill>
          <bgColor theme="4" tint="-0.499984740745262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theme="0"/>
        </patternFill>
      </fill>
    </dxf>
    <dxf>
      <fill>
        <patternFill>
          <bgColor theme="4" tint="-0.49998474074526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2" tint="-9.9978637043366805E-2"/>
        </patternFill>
      </fill>
    </dxf>
    <dxf>
      <fill>
        <patternFill>
          <bgColor theme="2" tint="-9.9978637043366805E-2"/>
        </patternFill>
      </fill>
    </dxf>
    <dxf>
      <fill>
        <patternFill>
          <bgColor theme="2" tint="-9.9978637043366805E-2"/>
        </patternFill>
      </fill>
    </dxf>
    <dxf>
      <fill>
        <patternFill>
          <bgColor theme="2" tint="-9.9978637043366805E-2"/>
        </patternFill>
      </fill>
    </dxf>
    <dxf>
      <fill>
        <patternFill>
          <bgColor theme="2" tint="-9.9978637043366805E-2"/>
        </patternFill>
      </fill>
    </dxf>
    <dxf>
      <numFmt numFmtId="164" formatCode="#,##0.00\ &quot;€&quot;"/>
    </dxf>
    <dxf>
      <fill>
        <patternFill>
          <bgColor theme="4" tint="-0.499984740745262"/>
        </patternFill>
      </fill>
    </dxf>
    <dxf>
      <font>
        <color theme="0"/>
      </font>
    </dxf>
    <dxf>
      <font>
        <b/>
      </font>
    </dxf>
    <dxf>
      <font>
        <b/>
      </font>
    </dxf>
    <dxf>
      <alignment horizontal="right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002060"/>
        </patternFill>
      </fill>
    </dxf>
    <dxf>
      <numFmt numFmtId="164" formatCode="#,##0.00\ &quot;€&quot;"/>
    </dxf>
    <dxf>
      <numFmt numFmtId="165" formatCode="_-* #,##0.00\ [$€-410]_-;\-* #,##0.00\ [$€-410]_-;_-* &quot;-&quot;??\ [$€-410]_-;_-@_-"/>
    </dxf>
    <dxf>
      <numFmt numFmtId="0" formatCode="General"/>
    </dxf>
    <dxf>
      <numFmt numFmtId="19" formatCode="dd/mm/yyyy"/>
    </dxf>
    <dxf>
      <numFmt numFmtId="19" formatCode="dd/mm/yyyy"/>
    </dxf>
    <dxf>
      <numFmt numFmtId="19" formatCode="dd/mm/yyyy"/>
    </dxf>
    <dxf>
      <numFmt numFmtId="164" formatCode="#,##0.00\ &quot;€&quot;"/>
    </dxf>
    <dxf>
      <numFmt numFmtId="164" formatCode="#,##0.00\ &quot;€&quot;"/>
    </dxf>
    <dxf>
      <fill>
        <patternFill>
          <bgColor rgb="FF00206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alignment horizontal="general" indent="0"/>
    </dxf>
    <dxf>
      <alignment horizontal="right"/>
    </dxf>
    <dxf>
      <alignment horizontal="right" indent="1"/>
    </dxf>
    <dxf>
      <font>
        <b/>
      </font>
      <alignment indent="1"/>
    </dxf>
    <dxf>
      <font>
        <b/>
      </font>
      <alignment indent="1"/>
    </dxf>
    <dxf>
      <alignment horizontal="right"/>
    </dxf>
    <dxf>
      <font>
        <b/>
        <color theme="0"/>
      </font>
      <fill>
        <patternFill>
          <fgColor theme="4" tint="-0.499984740745262"/>
        </patternFill>
      </fill>
    </dxf>
    <dxf>
      <font>
        <b/>
        <color theme="0"/>
      </font>
      <fill>
        <patternFill>
          <fgColor theme="4" tint="-0.499984740745262"/>
        </patternFill>
      </fill>
    </dxf>
    <dxf>
      <font>
        <color theme="0"/>
      </font>
      <fill>
        <patternFill>
          <fgColor theme="4" tint="-0.499984740745262"/>
        </patternFill>
      </fill>
    </dxf>
    <dxf>
      <fill>
        <patternFill>
          <bgColor theme="2" tint="-9.9978637043366805E-2"/>
        </patternFill>
      </fill>
    </dxf>
    <dxf>
      <fill>
        <patternFill>
          <bgColor theme="2" tint="-9.9978637043366805E-2"/>
        </patternFill>
      </fill>
    </dxf>
    <dxf>
      <fill>
        <patternFill>
          <bgColor theme="2" tint="-9.9978637043366805E-2"/>
        </patternFill>
      </fill>
    </dxf>
    <dxf>
      <fill>
        <patternFill>
          <bgColor theme="2" tint="-9.9978637043366805E-2"/>
        </patternFill>
      </fill>
    </dxf>
    <dxf>
      <fill>
        <patternFill>
          <bgColor theme="2" tint="-9.9978637043366805E-2"/>
        </patternFill>
      </fill>
    </dxf>
    <dxf>
      <fill>
        <patternFill>
          <bgColor theme="2" tint="-9.9978637043366805E-2"/>
        </patternFill>
      </fill>
    </dxf>
    <dxf>
      <font>
        <color theme="0"/>
      </font>
    </dxf>
    <dxf>
      <fill>
        <patternFill>
          <bgColor rgb="FF002060"/>
        </patternFill>
      </fill>
    </dxf>
    <dxf>
      <font>
        <color auto="1"/>
      </font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alignment horizontal="right"/>
    </dxf>
    <dxf>
      <fill>
        <patternFill>
          <bgColor theme="4" tint="-0.49998474074526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4" tint="-0.499984740745262"/>
        </patternFill>
      </fill>
    </dxf>
    <dxf>
      <fill>
        <patternFill>
          <bgColor theme="4" tint="-0.499984740745262"/>
        </patternFill>
      </fill>
    </dxf>
    <dxf>
      <fill>
        <patternFill>
          <bgColor theme="4" tint="-0.499984740745262"/>
        </patternFill>
      </fill>
    </dxf>
    <dxf>
      <fill>
        <patternFill>
          <bgColor theme="4" tint="-0.499984740745262"/>
        </patternFill>
      </fill>
    </dxf>
    <dxf>
      <fill>
        <patternFill>
          <bgColor theme="4" tint="-0.499984740745262"/>
        </patternFill>
      </fill>
    </dxf>
    <dxf>
      <fill>
        <patternFill>
          <bgColor theme="4" tint="-0.499984740745262"/>
        </patternFill>
      </fill>
    </dxf>
    <dxf>
      <fill>
        <patternFill>
          <bgColor theme="4" tint="-0.499984740745262"/>
        </patternFill>
      </fill>
    </dxf>
    <dxf>
      <fill>
        <patternFill>
          <bgColor theme="4" tint="-0.499984740745262"/>
        </patternFill>
      </fill>
    </dxf>
    <dxf>
      <fill>
        <patternFill>
          <bgColor theme="4" tint="-0.499984740745262"/>
        </patternFill>
      </fill>
    </dxf>
    <dxf>
      <fill>
        <patternFill>
          <bgColor theme="4" tint="-0.499984740745262"/>
        </patternFill>
      </fill>
    </dxf>
    <dxf>
      <font>
        <color theme="0"/>
      </font>
    </dxf>
    <dxf>
      <font>
        <b/>
      </font>
      <fill>
        <patternFill patternType="solid">
          <fgColor indexed="64"/>
          <bgColor theme="2" tint="-9.9978637043366805E-2"/>
        </patternFill>
      </fill>
    </dxf>
    <dxf>
      <font>
        <b/>
      </font>
      <fill>
        <patternFill patternType="solid">
          <fgColor indexed="64"/>
          <bgColor theme="2" tint="-9.9978637043366805E-2"/>
        </patternFill>
      </fill>
    </dxf>
    <dxf>
      <font>
        <b/>
      </font>
      <fill>
        <patternFill patternType="solid">
          <fgColor indexed="64"/>
          <bgColor theme="2" tint="-9.9978637043366805E-2"/>
        </patternFill>
      </fill>
    </dxf>
    <dxf>
      <font>
        <b/>
      </font>
      <fill>
        <patternFill patternType="solid">
          <fgColor indexed="64"/>
          <bgColor theme="2" tint="-9.9978637043366805E-2"/>
        </patternFill>
      </fill>
    </dxf>
    <dxf>
      <font>
        <b/>
      </font>
      <fill>
        <patternFill patternType="solid">
          <fgColor indexed="64"/>
          <bgColor theme="2" tint="-9.9978637043366805E-2"/>
        </patternFill>
      </fill>
    </dxf>
    <dxf>
      <font>
        <b/>
      </font>
      <fill>
        <patternFill patternType="solid">
          <fgColor indexed="64"/>
          <bgColor theme="2" tint="-9.9978637043366805E-2"/>
        </patternFill>
      </fill>
    </dxf>
    <dxf>
      <font>
        <b/>
      </font>
      <fill>
        <patternFill patternType="solid">
          <fgColor indexed="64"/>
          <bgColor theme="2" tint="-9.9978637043366805E-2"/>
        </patternFill>
      </fill>
    </dxf>
    <dxf>
      <font>
        <b/>
      </font>
      <fill>
        <patternFill patternType="solid">
          <fgColor indexed="64"/>
          <bgColor theme="2" tint="-9.9978637043366805E-2"/>
        </patternFill>
      </fill>
    </dxf>
    <dxf>
      <font>
        <b/>
      </font>
      <fill>
        <patternFill patternType="solid">
          <fgColor indexed="64"/>
          <bgColor theme="2" tint="-9.9978637043366805E-2"/>
        </patternFill>
      </fill>
    </dxf>
    <dxf>
      <font>
        <b/>
      </font>
      <fill>
        <patternFill patternType="solid">
          <fgColor indexed="64"/>
          <bgColor theme="2" tint="-9.9978637043366805E-2"/>
        </patternFill>
      </fill>
    </dxf>
    <dxf>
      <fill>
        <patternFill>
          <bgColor rgb="FF002060"/>
        </patternFill>
      </fill>
    </dxf>
    <dxf>
      <font>
        <color theme="0"/>
      </font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alignment horizontal="right"/>
    </dxf>
    <dxf>
      <fill>
        <patternFill>
          <bgColor theme="4" tint="-0.499984740745262"/>
        </patternFill>
      </fill>
    </dxf>
    <dxf>
      <fill>
        <patternFill>
          <bgColor theme="4" tint="-0.499984740745262"/>
        </patternFill>
      </fill>
    </dxf>
    <dxf>
      <fill>
        <patternFill>
          <bgColor theme="4" tint="-0.499984740745262"/>
        </patternFill>
      </fill>
    </dxf>
    <dxf>
      <font>
        <color theme="0"/>
      </font>
    </dxf>
    <dxf>
      <fill>
        <patternFill>
          <bgColor theme="2" tint="-9.9978637043366805E-2"/>
        </patternFill>
      </fill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002060"/>
      </font>
    </dxf>
    <dxf>
      <font>
        <color rgb="FF002060"/>
      </font>
    </dxf>
    <dxf>
      <font>
        <color rgb="FF002060"/>
      </font>
    </dxf>
    <dxf>
      <font>
        <color rgb="FF002060"/>
      </font>
    </dxf>
    <dxf>
      <font>
        <color rgb="FF002060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5"/>
        </patternFill>
      </fill>
    </dxf>
    <dxf>
      <alignment horizontal="left"/>
    </dxf>
    <dxf>
      <font>
        <b/>
      </font>
    </dxf>
    <dxf>
      <font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border>
        <right style="medium">
          <color indexed="64"/>
        </right>
        <top style="medium">
          <color indexed="64"/>
        </top>
      </border>
    </dxf>
    <dxf>
      <fill>
        <patternFill>
          <bgColor theme="0"/>
        </patternFill>
      </fill>
    </dxf>
    <dxf>
      <font>
        <b/>
      </font>
    </dxf>
    <dxf>
      <border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font>
        <b/>
      </font>
    </dxf>
    <dxf>
      <font>
        <color theme="0"/>
      </font>
    </dxf>
    <dxf>
      <fill>
        <patternFill>
          <bgColor rgb="FF002060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font>
        <color theme="0"/>
      </font>
    </dxf>
    <dxf>
      <fill>
        <patternFill>
          <bgColor rgb="FF002060"/>
        </patternFill>
      </fill>
    </dxf>
    <dxf>
      <border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font>
        <b/>
      </font>
    </dxf>
    <dxf>
      <fill>
        <patternFill>
          <bgColor theme="0"/>
        </patternFill>
      </fill>
    </dxf>
    <dxf>
      <fill>
        <patternFill>
          <fgColor theme="2" tint="-9.9948118533890809E-2"/>
          <bgColor theme="2" tint="-9.9948118533890809E-2"/>
        </patternFill>
      </fill>
    </dxf>
    <dxf>
      <fill>
        <patternFill>
          <fgColor theme="2" tint="-9.9948118533890809E-2"/>
          <bgColor theme="2" tint="-9.9948118533890809E-2"/>
        </patternFill>
      </fill>
    </dxf>
    <dxf>
      <fill>
        <patternFill>
          <fgColor theme="2" tint="-9.9948118533890809E-2"/>
          <bgColor theme="2" tint="-9.9948118533890809E-2"/>
        </patternFill>
      </fill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ill>
        <patternFill>
          <bgColor theme="2" tint="-9.9978637043366805E-2"/>
        </patternFill>
      </fill>
    </dxf>
    <dxf>
      <fill>
        <patternFill>
          <bgColor theme="2" tint="-9.9978637043366805E-2"/>
        </patternFill>
      </fill>
    </dxf>
    <dxf>
      <fill>
        <patternFill>
          <bgColor theme="2" tint="-9.9978637043366805E-2"/>
        </patternFill>
      </fill>
    </dxf>
    <dxf>
      <fill>
        <patternFill>
          <bgColor theme="2" tint="-9.9978637043366805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  <border>
        <top/>
      </border>
    </dxf>
    <dxf>
      <fill>
        <patternFill patternType="solid">
          <fgColor theme="4" tint="0.79995117038483843"/>
          <bgColor theme="4" tint="0.79995117038483843"/>
        </patternFill>
      </fill>
      <border>
        <bottom/>
      </border>
    </dxf>
  </dxfs>
  <tableStyles count="3" defaultTableStyle="TableStyleMedium2" defaultPivotStyle="PivotStyleLight16">
    <tableStyle name="Stile pivot bidimensionale" table="0" count="3" xr9:uid="{51FB0724-BDA4-404F-AA6B-BF2994C4DC53}">
      <tableStyleElement type="headerRow" dxfId="241"/>
      <tableStyleElement type="totalRow" dxfId="240"/>
      <tableStyleElement type="secondRowStripe" dxfId="239"/>
    </tableStyle>
    <tableStyle name="Stile tabella pivot 1" table="0" count="2" xr9:uid="{63634678-9E96-486F-A307-09DC717830DB}">
      <tableStyleElement type="wholeTable" dxfId="238"/>
      <tableStyleElement type="blankRow" dxfId="237"/>
    </tableStyle>
    <tableStyle name="Stile tabella pivot 2" table="0" count="4" xr9:uid="{5800288D-981F-43F4-AA05-44B6297A32C5}">
      <tableStyleElement type="wholeTable" dxfId="236"/>
      <tableStyleElement type="firstColumnStripe" dxfId="235"/>
      <tableStyleElement type="blankRow" dxfId="234"/>
      <tableStyleElement type="pageFieldValues" dxfId="233"/>
    </tableStyle>
  </tableStyles>
  <colors>
    <mruColors>
      <color rgb="FF81F7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openxmlformats.org/officeDocument/2006/relationships/pivotCacheDefinition" Target="pivotCache/pivotCacheDefinition7.xml"/><Relationship Id="rId26" Type="http://schemas.microsoft.com/office/2007/relationships/slicerCache" Target="slicerCaches/slicerCache1.xml"/><Relationship Id="rId39" Type="http://schemas.openxmlformats.org/officeDocument/2006/relationships/sharedStrings" Target="sharedStrings.xml"/><Relationship Id="rId21" Type="http://schemas.openxmlformats.org/officeDocument/2006/relationships/pivotCacheDefinition" Target="pivotCache/pivotCacheDefinition10.xml"/><Relationship Id="rId34" Type="http://schemas.openxmlformats.org/officeDocument/2006/relationships/pivotCacheDefinition" Target="pivotCache/pivotCacheDefinition15.xml"/><Relationship Id="rId42" Type="http://schemas.openxmlformats.org/officeDocument/2006/relationships/calcChain" Target="calcChain.xml"/><Relationship Id="rId47" Type="http://schemas.openxmlformats.org/officeDocument/2006/relationships/customXml" Target="../customXml/item5.xml"/><Relationship Id="rId50" Type="http://schemas.openxmlformats.org/officeDocument/2006/relationships/customXml" Target="../customXml/item8.xml"/><Relationship Id="rId55" Type="http://schemas.openxmlformats.org/officeDocument/2006/relationships/customXml" Target="../customXml/item13.xml"/><Relationship Id="rId63" Type="http://schemas.openxmlformats.org/officeDocument/2006/relationships/customXml" Target="../customXml/item2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5.xml"/><Relationship Id="rId29" Type="http://schemas.microsoft.com/office/2007/relationships/slicerCache" Target="slicerCaches/slicerCache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13.xml"/><Relationship Id="rId32" Type="http://schemas.microsoft.com/office/2007/relationships/slicerCache" Target="slicerCaches/slicerCache7.xml"/><Relationship Id="rId37" Type="http://schemas.openxmlformats.org/officeDocument/2006/relationships/connections" Target="connections.xml"/><Relationship Id="rId40" Type="http://schemas.openxmlformats.org/officeDocument/2006/relationships/sheetMetadata" Target="metadata.xml"/><Relationship Id="rId45" Type="http://schemas.openxmlformats.org/officeDocument/2006/relationships/customXml" Target="../customXml/item3.xml"/><Relationship Id="rId53" Type="http://schemas.openxmlformats.org/officeDocument/2006/relationships/customXml" Target="../customXml/item11.xml"/><Relationship Id="rId58" Type="http://schemas.openxmlformats.org/officeDocument/2006/relationships/customXml" Target="../customXml/item16.xml"/><Relationship Id="rId66" Type="http://schemas.openxmlformats.org/officeDocument/2006/relationships/customXml" Target="../customXml/item24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4.xml"/><Relationship Id="rId23" Type="http://schemas.openxmlformats.org/officeDocument/2006/relationships/pivotCacheDefinition" Target="pivotCache/pivotCacheDefinition12.xml"/><Relationship Id="rId28" Type="http://schemas.microsoft.com/office/2007/relationships/slicerCache" Target="slicerCaches/slicerCache3.xml"/><Relationship Id="rId36" Type="http://schemas.openxmlformats.org/officeDocument/2006/relationships/theme" Target="theme/theme1.xml"/><Relationship Id="rId49" Type="http://schemas.openxmlformats.org/officeDocument/2006/relationships/customXml" Target="../customXml/item7.xml"/><Relationship Id="rId57" Type="http://schemas.openxmlformats.org/officeDocument/2006/relationships/customXml" Target="../customXml/item15.xml"/><Relationship Id="rId61" Type="http://schemas.openxmlformats.org/officeDocument/2006/relationships/customXml" Target="../customXml/item19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8.xml"/><Relationship Id="rId31" Type="http://schemas.microsoft.com/office/2007/relationships/slicerCache" Target="slicerCaches/slicerCache6.xml"/><Relationship Id="rId44" Type="http://schemas.openxmlformats.org/officeDocument/2006/relationships/customXml" Target="../customXml/item2.xml"/><Relationship Id="rId52" Type="http://schemas.openxmlformats.org/officeDocument/2006/relationships/customXml" Target="../customXml/item10.xml"/><Relationship Id="rId60" Type="http://schemas.openxmlformats.org/officeDocument/2006/relationships/customXml" Target="../customXml/item18.xml"/><Relationship Id="rId65" Type="http://schemas.openxmlformats.org/officeDocument/2006/relationships/customXml" Target="../customXml/item2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openxmlformats.org/officeDocument/2006/relationships/pivotCacheDefinition" Target="pivotCache/pivotCacheDefinition11.xml"/><Relationship Id="rId27" Type="http://schemas.microsoft.com/office/2007/relationships/slicerCache" Target="slicerCaches/slicerCache2.xml"/><Relationship Id="rId30" Type="http://schemas.microsoft.com/office/2007/relationships/slicerCache" Target="slicerCaches/slicerCache5.xml"/><Relationship Id="rId35" Type="http://schemas.openxmlformats.org/officeDocument/2006/relationships/pivotTable" Target="pivotTables/pivotTable1.xml"/><Relationship Id="rId43" Type="http://schemas.openxmlformats.org/officeDocument/2006/relationships/customXml" Target="../customXml/item1.xml"/><Relationship Id="rId48" Type="http://schemas.openxmlformats.org/officeDocument/2006/relationships/customXml" Target="../customXml/item6.xml"/><Relationship Id="rId56" Type="http://schemas.openxmlformats.org/officeDocument/2006/relationships/customXml" Target="../customXml/item14.xml"/><Relationship Id="rId64" Type="http://schemas.openxmlformats.org/officeDocument/2006/relationships/customXml" Target="../customXml/item22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9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1.xml"/><Relationship Id="rId17" Type="http://schemas.openxmlformats.org/officeDocument/2006/relationships/pivotCacheDefinition" Target="pivotCache/pivotCacheDefinition6.xml"/><Relationship Id="rId25" Type="http://schemas.openxmlformats.org/officeDocument/2006/relationships/pivotCacheDefinition" Target="pivotCache/pivotCacheDefinition14.xml"/><Relationship Id="rId33" Type="http://schemas.microsoft.com/office/2007/relationships/slicerCache" Target="slicerCaches/slicerCache8.xml"/><Relationship Id="rId38" Type="http://schemas.openxmlformats.org/officeDocument/2006/relationships/styles" Target="styles.xml"/><Relationship Id="rId46" Type="http://schemas.openxmlformats.org/officeDocument/2006/relationships/customXml" Target="../customXml/item4.xml"/><Relationship Id="rId59" Type="http://schemas.openxmlformats.org/officeDocument/2006/relationships/customXml" Target="../customXml/item17.xml"/><Relationship Id="rId67" Type="http://schemas.microsoft.com/office/2006/relationships/vbaProject" Target="vbaProject.bin"/><Relationship Id="rId20" Type="http://schemas.openxmlformats.org/officeDocument/2006/relationships/pivotCacheDefinition" Target="pivotCache/pivotCacheDefinition9.xml"/><Relationship Id="rId41" Type="http://schemas.openxmlformats.org/officeDocument/2006/relationships/powerPivotData" Target="model/item.data"/><Relationship Id="rId54" Type="http://schemas.openxmlformats.org/officeDocument/2006/relationships/customXml" Target="../customXml/item12.xml"/><Relationship Id="rId62" Type="http://schemas.openxmlformats.org/officeDocument/2006/relationships/customXml" Target="../customXml/item20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[Modello Dati FormazioneGRUPPO2 DEF GF.xlsm222 (2).xlsm]ANALISI!Tabella pivot8</c:name>
    <c:fmtId val="1"/>
  </c:pivotSource>
  <c:chart>
    <c:autoTitleDeleted val="1"/>
    <c:pivotFmts>
      <c:pivotFmt>
        <c:idx val="0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ANALISI!$C$10</c:f>
              <c:strCache>
                <c:ptCount val="1"/>
                <c:pt idx="0">
                  <c:v>Totale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ANALISI!$B$11:$B$31</c:f>
              <c:multiLvlStrCache>
                <c:ptCount val="16"/>
                <c:lvl>
                  <c:pt idx="0">
                    <c:v>ALBERT EINSTEIN</c:v>
                  </c:pt>
                  <c:pt idx="1">
                    <c:v>ENZA LOSAPPIO</c:v>
                  </c:pt>
                  <c:pt idx="2">
                    <c:v>FRANCA DE BELLIS</c:v>
                  </c:pt>
                  <c:pt idx="3">
                    <c:v>SIMONA REALE</c:v>
                  </c:pt>
                  <c:pt idx="4">
                    <c:v>ALESSANDRA GUERRIERO</c:v>
                  </c:pt>
                  <c:pt idx="5">
                    <c:v>ISAAC NEWTON</c:v>
                  </c:pt>
                  <c:pt idx="6">
                    <c:v>JOHN WATSON</c:v>
                  </c:pt>
                  <c:pt idx="7">
                    <c:v>MARIA CHIARA BIONDI</c:v>
                  </c:pt>
                  <c:pt idx="8">
                    <c:v>ANDREA PORTANOVA</c:v>
                  </c:pt>
                  <c:pt idx="9">
                    <c:v>FRANCESCO IPPOLITO</c:v>
                  </c:pt>
                  <c:pt idx="10">
                    <c:v>GIULIA VOCINO</c:v>
                  </c:pt>
                  <c:pt idx="11">
                    <c:v>NICOLO' COPERNICO</c:v>
                  </c:pt>
                  <c:pt idx="12">
                    <c:v>CHIARA RAPELLI</c:v>
                  </c:pt>
                  <c:pt idx="13">
                    <c:v>DANTE ALIGHIERI</c:v>
                  </c:pt>
                  <c:pt idx="14">
                    <c:v>LEONARDO FIBONACCI</c:v>
                  </c:pt>
                  <c:pt idx="15">
                    <c:v>NIKOLA TESLA</c:v>
                  </c:pt>
                </c:lvl>
                <c:lvl>
                  <c:pt idx="0">
                    <c:v>BARI</c:v>
                  </c:pt>
                  <c:pt idx="4">
                    <c:v>BOLOGNA</c:v>
                  </c:pt>
                  <c:pt idx="8">
                    <c:v>NAPOLI</c:v>
                  </c:pt>
                  <c:pt idx="12">
                    <c:v>ONLINE</c:v>
                  </c:pt>
                </c:lvl>
              </c:multiLvlStrCache>
            </c:multiLvlStrRef>
          </c:cat>
          <c:val>
            <c:numRef>
              <c:f>ANALISI!$C$11:$C$31</c:f>
              <c:numCache>
                <c:formatCode>General</c:formatCode>
                <c:ptCount val="16"/>
                <c:pt idx="0">
                  <c:v>200</c:v>
                </c:pt>
                <c:pt idx="1">
                  <c:v>200</c:v>
                </c:pt>
                <c:pt idx="2">
                  <c:v>90</c:v>
                </c:pt>
                <c:pt idx="3">
                  <c:v>200</c:v>
                </c:pt>
                <c:pt idx="4">
                  <c:v>150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100</c:v>
                </c:pt>
                <c:pt idx="10">
                  <c:v>200</c:v>
                </c:pt>
                <c:pt idx="11">
                  <c:v>120</c:v>
                </c:pt>
                <c:pt idx="12">
                  <c:v>200</c:v>
                </c:pt>
                <c:pt idx="13">
                  <c:v>100</c:v>
                </c:pt>
                <c:pt idx="14">
                  <c:v>160</c:v>
                </c:pt>
                <c:pt idx="1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174-410A-94C5-3864B048352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696161568"/>
        <c:axId val="517884832"/>
      </c:barChart>
      <c:catAx>
        <c:axId val="69616156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17884832"/>
        <c:crosses val="autoZero"/>
        <c:auto val="0"/>
        <c:lblAlgn val="ctr"/>
        <c:lblOffset val="100"/>
        <c:noMultiLvlLbl val="0"/>
      </c:catAx>
      <c:valAx>
        <c:axId val="51788483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96161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[Modello Dati FormazioneGRUPPO2 DEF GF.xlsm222 (2).xlsm]TAB PIV !Tabella pivot1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2">
                    <a:lumMod val="25000"/>
                  </a:schemeClr>
                </a:solidFill>
              </a:rPr>
              <a:t>FATTURATO PER MATERIA</a:t>
            </a:r>
          </a:p>
        </c:rich>
      </c:tx>
      <c:layout>
        <c:manualLayout>
          <c:xMode val="edge"/>
          <c:yMode val="edge"/>
          <c:x val="0.34462307428962685"/>
          <c:y val="2.90758016068768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 PIV '!$K$3</c:f>
              <c:strCache>
                <c:ptCount val="1"/>
                <c:pt idx="0">
                  <c:v>Somma di COSTO TOTALE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D6A-4EBD-8447-23E0A31F61B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D6A-4EBD-8447-23E0A31F61B6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4D6A-4EBD-8447-23E0A31F61B6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4D6A-4EBD-8447-23E0A31F61B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 PIV '!$J$4:$J$8</c:f>
              <c:strCache>
                <c:ptCount val="4"/>
                <c:pt idx="0">
                  <c:v>FISICA</c:v>
                </c:pt>
                <c:pt idx="1">
                  <c:v>INGLESE</c:v>
                </c:pt>
                <c:pt idx="2">
                  <c:v>ITALIANO</c:v>
                </c:pt>
                <c:pt idx="3">
                  <c:v>MATEMATICA</c:v>
                </c:pt>
              </c:strCache>
            </c:strRef>
          </c:cat>
          <c:val>
            <c:numRef>
              <c:f>'TAB PIV '!$K$4:$K$8</c:f>
              <c:numCache>
                <c:formatCode>General</c:formatCode>
                <c:ptCount val="4"/>
                <c:pt idx="0">
                  <c:v>322000</c:v>
                </c:pt>
                <c:pt idx="1">
                  <c:v>280000</c:v>
                </c:pt>
                <c:pt idx="2">
                  <c:v>93500</c:v>
                </c:pt>
                <c:pt idx="3">
                  <c:v>280000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8D-42ED-B5E5-E251A376A74F}"/>
            </c:ext>
          </c:extLst>
        </c:ser>
        <c:ser>
          <c:idx val="1"/>
          <c:order val="1"/>
          <c:tx>
            <c:strRef>
              <c:f>'TAB PIV '!$L$3</c:f>
              <c:strCache>
                <c:ptCount val="1"/>
                <c:pt idx="0">
                  <c:v>Somma di ORE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4D6A-4EBD-8447-23E0A31F61B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4D6A-4EBD-8447-23E0A31F61B6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4D6A-4EBD-8447-23E0A31F61B6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4D6A-4EBD-8447-23E0A31F61B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 PIV '!$J$4:$J$8</c:f>
              <c:strCache>
                <c:ptCount val="4"/>
                <c:pt idx="0">
                  <c:v>FISICA</c:v>
                </c:pt>
                <c:pt idx="1">
                  <c:v>INGLESE</c:v>
                </c:pt>
                <c:pt idx="2">
                  <c:v>ITALIANO</c:v>
                </c:pt>
                <c:pt idx="3">
                  <c:v>MATEMATICA</c:v>
                </c:pt>
              </c:strCache>
            </c:strRef>
          </c:cat>
          <c:val>
            <c:numRef>
              <c:f>'TAB PIV '!$L$4:$L$8</c:f>
              <c:numCache>
                <c:formatCode>General</c:formatCode>
                <c:ptCount val="4"/>
                <c:pt idx="0">
                  <c:v>720</c:v>
                </c:pt>
                <c:pt idx="1">
                  <c:v>700</c:v>
                </c:pt>
                <c:pt idx="2">
                  <c:v>540</c:v>
                </c:pt>
                <c:pt idx="3">
                  <c:v>760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8D-42ED-B5E5-E251A376A74F}"/>
            </c:ext>
          </c:extLst>
        </c:ser>
        <c:ser>
          <c:idx val="2"/>
          <c:order val="2"/>
          <c:tx>
            <c:strRef>
              <c:f>'TAB PIV '!$M$3</c:f>
              <c:strCache>
                <c:ptCount val="1"/>
                <c:pt idx="0">
                  <c:v>Somma di PREZZO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4D6A-4EBD-8447-23E0A31F61B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4D6A-4EBD-8447-23E0A31F61B6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4D6A-4EBD-8447-23E0A31F61B6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4D6A-4EBD-8447-23E0A31F61B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 PIV '!$J$4:$J$8</c:f>
              <c:strCache>
                <c:ptCount val="4"/>
                <c:pt idx="0">
                  <c:v>FISICA</c:v>
                </c:pt>
                <c:pt idx="1">
                  <c:v>INGLESE</c:v>
                </c:pt>
                <c:pt idx="2">
                  <c:v>ITALIANO</c:v>
                </c:pt>
                <c:pt idx="3">
                  <c:v>MATEMATICA</c:v>
                </c:pt>
              </c:strCache>
            </c:strRef>
          </c:cat>
          <c:val>
            <c:numRef>
              <c:f>'TAB PIV '!$M$4:$M$8</c:f>
              <c:numCache>
                <c:formatCode>General</c:formatCode>
                <c:ptCount val="4"/>
                <c:pt idx="0">
                  <c:v>1750</c:v>
                </c:pt>
                <c:pt idx="1">
                  <c:v>1550</c:v>
                </c:pt>
                <c:pt idx="2">
                  <c:v>620</c:v>
                </c:pt>
                <c:pt idx="3">
                  <c:v>1450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C8D-42ED-B5E5-E251A376A74F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bg1">
            <a:lumMod val="85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[Modello Dati FormazioneGRUPPO2 DEF GF.xlsm222 (2).xlsm]TAB PIV !Tabella pivot2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2">
                    <a:lumMod val="25000"/>
                  </a:schemeClr>
                </a:solidFill>
              </a:rPr>
              <a:t>FATTURATO PER CORSI </a:t>
            </a:r>
          </a:p>
        </c:rich>
      </c:tx>
      <c:layout>
        <c:manualLayout>
          <c:xMode val="edge"/>
          <c:yMode val="edge"/>
          <c:x val="0.37899645298756846"/>
          <c:y val="2.17835262083049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4.0766398010753851E-2"/>
          <c:y val="0.11567818706364841"/>
          <c:w val="0.78238614266030859"/>
          <c:h val="0.81184145067310165"/>
        </c:manualLayout>
      </c:layout>
      <c:pieChart>
        <c:varyColors val="1"/>
        <c:ser>
          <c:idx val="0"/>
          <c:order val="0"/>
          <c:tx>
            <c:strRef>
              <c:f>'TAB PIV '!$C$35</c:f>
              <c:strCache>
                <c:ptCount val="1"/>
                <c:pt idx="0">
                  <c:v>Totale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BE1-49FC-969E-103D33EB006F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BE1-49FC-969E-103D33EB006F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BE1-49FC-969E-103D33EB006F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CBE1-49FC-969E-103D33EB006F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CBE1-49FC-969E-103D33EB006F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CBE1-49FC-969E-103D33EB006F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CBE1-49FC-969E-103D33EB006F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CBE1-49FC-969E-103D33EB006F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CBE1-49FC-969E-103D33EB006F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CBE1-49FC-969E-103D33EB006F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CBE1-49FC-969E-103D33EB006F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CBE1-49FC-969E-103D33EB006F}"/>
              </c:ext>
            </c:extLst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CBE1-49FC-969E-103D33EB006F}"/>
              </c:ext>
            </c:extLst>
          </c:dPt>
          <c:dPt>
            <c:idx val="13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CBE1-49FC-969E-103D33EB006F}"/>
              </c:ext>
            </c:extLst>
          </c:dPt>
          <c:dPt>
            <c:idx val="14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CBE1-49FC-969E-103D33EB006F}"/>
              </c:ext>
            </c:extLst>
          </c:dPt>
          <c:dPt>
            <c:idx val="15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CBE1-49FC-969E-103D33EB00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 PIV '!$B$36:$B$52</c:f>
              <c:strCache>
                <c:ptCount val="16"/>
                <c:pt idx="0">
                  <c:v>FISICA 1</c:v>
                </c:pt>
                <c:pt idx="1">
                  <c:v>FISICA 2</c:v>
                </c:pt>
                <c:pt idx="2">
                  <c:v>FISICA 3</c:v>
                </c:pt>
                <c:pt idx="3">
                  <c:v>FISICA 4</c:v>
                </c:pt>
                <c:pt idx="4">
                  <c:v>INGLESE 1</c:v>
                </c:pt>
                <c:pt idx="5">
                  <c:v>INGLESE 2</c:v>
                </c:pt>
                <c:pt idx="6">
                  <c:v>INGLESE 3</c:v>
                </c:pt>
                <c:pt idx="7">
                  <c:v>INGLESE 4</c:v>
                </c:pt>
                <c:pt idx="8">
                  <c:v>ITALIANO 1</c:v>
                </c:pt>
                <c:pt idx="9">
                  <c:v>ITALIANO 2</c:v>
                </c:pt>
                <c:pt idx="10">
                  <c:v>ITALIANO 3</c:v>
                </c:pt>
                <c:pt idx="11">
                  <c:v>ITALIANO 4</c:v>
                </c:pt>
                <c:pt idx="12">
                  <c:v>MATEMATICA 1</c:v>
                </c:pt>
                <c:pt idx="13">
                  <c:v>MATEMATICA 2</c:v>
                </c:pt>
                <c:pt idx="14">
                  <c:v>MATEMATICA 3</c:v>
                </c:pt>
                <c:pt idx="15">
                  <c:v>MATEMATICA 4</c:v>
                </c:pt>
              </c:strCache>
            </c:strRef>
          </c:cat>
          <c:val>
            <c:numRef>
              <c:f>'TAB PIV '!$C$36:$C$52</c:f>
              <c:numCache>
                <c:formatCode>General</c:formatCode>
                <c:ptCount val="16"/>
                <c:pt idx="0">
                  <c:v>100000</c:v>
                </c:pt>
                <c:pt idx="1">
                  <c:v>80000</c:v>
                </c:pt>
                <c:pt idx="2">
                  <c:v>42000</c:v>
                </c:pt>
                <c:pt idx="3">
                  <c:v>100000</c:v>
                </c:pt>
                <c:pt idx="4">
                  <c:v>50000</c:v>
                </c:pt>
                <c:pt idx="5">
                  <c:v>100000</c:v>
                </c:pt>
                <c:pt idx="6">
                  <c:v>30000</c:v>
                </c:pt>
                <c:pt idx="7">
                  <c:v>100000</c:v>
                </c:pt>
                <c:pt idx="8">
                  <c:v>12000</c:v>
                </c:pt>
                <c:pt idx="9">
                  <c:v>22500</c:v>
                </c:pt>
                <c:pt idx="10">
                  <c:v>9000</c:v>
                </c:pt>
                <c:pt idx="11">
                  <c:v>50000</c:v>
                </c:pt>
                <c:pt idx="12">
                  <c:v>60000</c:v>
                </c:pt>
                <c:pt idx="13">
                  <c:v>40000</c:v>
                </c:pt>
                <c:pt idx="14">
                  <c:v>100000</c:v>
                </c:pt>
                <c:pt idx="15">
                  <c:v>80000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CBE1-49FC-969E-103D33EB006F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547214695103658"/>
          <c:y val="0.24245326408002915"/>
          <c:w val="0.12596254351924738"/>
          <c:h val="0.57249773087378908"/>
        </c:manualLayout>
      </c:layout>
      <c:overlay val="0"/>
      <c:spPr>
        <a:solidFill>
          <a:schemeClr val="bg1">
            <a:lumMod val="85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[Modello Dati FormazioneGRUPPO2 DEF GF.xlsm222 (2).xlsm]TAB PIV !Tabella pivot4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PREZZO</a:t>
            </a:r>
            <a:r>
              <a:rPr lang="en-US" baseline="0"/>
              <a:t> CORSI</a:t>
            </a:r>
            <a:endParaRPr lang="en-US"/>
          </a:p>
        </c:rich>
      </c:tx>
      <c:layout>
        <c:manualLayout>
          <c:xMode val="edge"/>
          <c:yMode val="edge"/>
          <c:x val="0.38863219572445834"/>
          <c:y val="3.32949954289421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'TAB PIV '!$C$55</c:f>
              <c:strCache>
                <c:ptCount val="1"/>
                <c:pt idx="0">
                  <c:v>Totale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D3F-4223-B22B-B7AE8BAAE8D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D3F-4223-B22B-B7AE8BAAE8D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3D3F-4223-B22B-B7AE8BAAE8D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3D3F-4223-B22B-B7AE8BAAE8D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3D3F-4223-B22B-B7AE8BAAE8D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3D3F-4223-B22B-B7AE8BAAE8D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3D3F-4223-B22B-B7AE8BAAE8D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3D3F-4223-B22B-B7AE8BAAE8D5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3D3F-4223-B22B-B7AE8BAAE8D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3D3F-4223-B22B-B7AE8BAAE8D5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3D3F-4223-B22B-B7AE8BAAE8D5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3D3F-4223-B22B-B7AE8BAAE8D5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3D3F-4223-B22B-B7AE8BAAE8D5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3D3F-4223-B22B-B7AE8BAAE8D5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3D3F-4223-B22B-B7AE8BAAE8D5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3D3F-4223-B22B-B7AE8BAAE8D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 PIV '!$B$56:$B$72</c:f>
              <c:strCache>
                <c:ptCount val="16"/>
                <c:pt idx="0">
                  <c:v>FISICA 1</c:v>
                </c:pt>
                <c:pt idx="1">
                  <c:v>FISICA 2</c:v>
                </c:pt>
                <c:pt idx="2">
                  <c:v>FISICA 3</c:v>
                </c:pt>
                <c:pt idx="3">
                  <c:v>FISICA 4</c:v>
                </c:pt>
                <c:pt idx="4">
                  <c:v>INGLESE 1</c:v>
                </c:pt>
                <c:pt idx="5">
                  <c:v>INGLESE 2</c:v>
                </c:pt>
                <c:pt idx="6">
                  <c:v>INGLESE 3</c:v>
                </c:pt>
                <c:pt idx="7">
                  <c:v>INGLESE 4</c:v>
                </c:pt>
                <c:pt idx="8">
                  <c:v>ITALIANO 1</c:v>
                </c:pt>
                <c:pt idx="9">
                  <c:v>ITALIANO 2</c:v>
                </c:pt>
                <c:pt idx="10">
                  <c:v>ITALIANO 3</c:v>
                </c:pt>
                <c:pt idx="11">
                  <c:v>ITALIANO 4</c:v>
                </c:pt>
                <c:pt idx="12">
                  <c:v>MATEMATICA 1</c:v>
                </c:pt>
                <c:pt idx="13">
                  <c:v>MATEMATICA 2</c:v>
                </c:pt>
                <c:pt idx="14">
                  <c:v>MATEMATICA 3</c:v>
                </c:pt>
                <c:pt idx="15">
                  <c:v>MATEMATICA 4</c:v>
                </c:pt>
              </c:strCache>
            </c:strRef>
          </c:cat>
          <c:val>
            <c:numRef>
              <c:f>'TAB PIV '!$C$56:$C$72</c:f>
              <c:numCache>
                <c:formatCode>General</c:formatCode>
                <c:ptCount val="16"/>
                <c:pt idx="0">
                  <c:v>500</c:v>
                </c:pt>
                <c:pt idx="1">
                  <c:v>400</c:v>
                </c:pt>
                <c:pt idx="2">
                  <c:v>350</c:v>
                </c:pt>
                <c:pt idx="3">
                  <c:v>500</c:v>
                </c:pt>
                <c:pt idx="4">
                  <c:v>250</c:v>
                </c:pt>
                <c:pt idx="5">
                  <c:v>500</c:v>
                </c:pt>
                <c:pt idx="6">
                  <c:v>300</c:v>
                </c:pt>
                <c:pt idx="7">
                  <c:v>500</c:v>
                </c:pt>
                <c:pt idx="8">
                  <c:v>120</c:v>
                </c:pt>
                <c:pt idx="9">
                  <c:v>150</c:v>
                </c:pt>
                <c:pt idx="10">
                  <c:v>100</c:v>
                </c:pt>
                <c:pt idx="11">
                  <c:v>250</c:v>
                </c:pt>
                <c:pt idx="12">
                  <c:v>300</c:v>
                </c:pt>
                <c:pt idx="13">
                  <c:v>250</c:v>
                </c:pt>
                <c:pt idx="14">
                  <c:v>500</c:v>
                </c:pt>
                <c:pt idx="15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D3F-4223-B22B-B7AE8BAAE8D5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bg1">
            <a:lumMod val="85000"/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[Modello Dati FormazioneGRUPPO2 DEF GF.xlsm222 (2).xlsm]TAB PIV !Tabella pivot6</c:name>
    <c:fmtId val="1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FATTURATO PER DOCENTE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'TAB PIV '!$C$75</c:f>
              <c:strCache>
                <c:ptCount val="1"/>
                <c:pt idx="0">
                  <c:v>Totale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multiLvlStrRef>
              <c:f>'TAB PIV '!$B$76:$B$93</c:f>
              <c:multiLvlStrCache>
                <c:ptCount val="16"/>
                <c:lvl>
                  <c:pt idx="0">
                    <c:v>ALBERT EINSTEIN</c:v>
                  </c:pt>
                  <c:pt idx="1">
                    <c:v>ALESSANDRA GUERRIERO</c:v>
                  </c:pt>
                  <c:pt idx="2">
                    <c:v>ANDREA PORTANOVA</c:v>
                  </c:pt>
                  <c:pt idx="3">
                    <c:v>CHIARA RAPELLI</c:v>
                  </c:pt>
                  <c:pt idx="4">
                    <c:v>DANTE ALIGHIERI</c:v>
                  </c:pt>
                  <c:pt idx="5">
                    <c:v>ENZA LOSAPPIO</c:v>
                  </c:pt>
                  <c:pt idx="6">
                    <c:v>FRANCA DE BELLIS</c:v>
                  </c:pt>
                  <c:pt idx="7">
                    <c:v>FRANCESCO IPPOLITO</c:v>
                  </c:pt>
                  <c:pt idx="8">
                    <c:v>GIULIA VOCINO</c:v>
                  </c:pt>
                  <c:pt idx="9">
                    <c:v>ISAAC NEWTON</c:v>
                  </c:pt>
                  <c:pt idx="10">
                    <c:v>JOHN WATSON</c:v>
                  </c:pt>
                  <c:pt idx="11">
                    <c:v>LEONARDO FIBONACCI</c:v>
                  </c:pt>
                  <c:pt idx="12">
                    <c:v>MARIA CHIARA BIONDI</c:v>
                  </c:pt>
                  <c:pt idx="13">
                    <c:v>NICOLO' COPERNICO</c:v>
                  </c:pt>
                  <c:pt idx="14">
                    <c:v>NIKOLA TESLA</c:v>
                  </c:pt>
                  <c:pt idx="15">
                    <c:v>SIMONA REALE</c:v>
                  </c:pt>
                </c:lvl>
                <c:lvl>
                  <c:pt idx="0">
                    <c:v>(vuoto)</c:v>
                  </c:pt>
                </c:lvl>
              </c:multiLvlStrCache>
            </c:multiLvlStrRef>
          </c:cat>
          <c:val>
            <c:numRef>
              <c:f>'TAB PIV '!$C$76:$C$93</c:f>
              <c:numCache>
                <c:formatCode>#,##0.00\ "€"</c:formatCode>
                <c:ptCount val="16"/>
                <c:pt idx="0">
                  <c:v>100000</c:v>
                </c:pt>
                <c:pt idx="1">
                  <c:v>22500</c:v>
                </c:pt>
                <c:pt idx="2">
                  <c:v>50000</c:v>
                </c:pt>
                <c:pt idx="3">
                  <c:v>100000</c:v>
                </c:pt>
                <c:pt idx="4">
                  <c:v>12000</c:v>
                </c:pt>
                <c:pt idx="5">
                  <c:v>60000</c:v>
                </c:pt>
                <c:pt idx="6">
                  <c:v>9000</c:v>
                </c:pt>
                <c:pt idx="7">
                  <c:v>30000</c:v>
                </c:pt>
                <c:pt idx="8">
                  <c:v>100000</c:v>
                </c:pt>
                <c:pt idx="9">
                  <c:v>80000</c:v>
                </c:pt>
                <c:pt idx="10">
                  <c:v>50000</c:v>
                </c:pt>
                <c:pt idx="11">
                  <c:v>40000</c:v>
                </c:pt>
                <c:pt idx="12">
                  <c:v>80000</c:v>
                </c:pt>
                <c:pt idx="13">
                  <c:v>42000</c:v>
                </c:pt>
                <c:pt idx="14">
                  <c:v>100000</c:v>
                </c:pt>
                <c:pt idx="15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84-442F-9D46-1044F3A5E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2818320"/>
        <c:axId val="307574128"/>
        <c:axId val="0"/>
      </c:bar3DChart>
      <c:catAx>
        <c:axId val="92818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7574128"/>
        <c:crosses val="autoZero"/>
        <c:auto val="1"/>
        <c:lblAlgn val="ctr"/>
        <c:lblOffset val="100"/>
        <c:noMultiLvlLbl val="0"/>
      </c:catAx>
      <c:valAx>
        <c:axId val="307574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2818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[Modello Dati FormazioneGRUPPO2 DEF GF.xlsm222 (2).xlsm]TAB PIV !Tabella pivot3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MONTE ORE PROFESSORI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'TAB PIV '!$C$96:$C$99</c:f>
              <c:strCache>
                <c:ptCount val="1"/>
                <c:pt idx="0">
                  <c:v>apr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cat>
            <c:strRef>
              <c:f>'TAB PIV '!$B$100:$B$116</c:f>
              <c:strCache>
                <c:ptCount val="16"/>
                <c:pt idx="0">
                  <c:v>ALBERT EINSTEIN</c:v>
                </c:pt>
                <c:pt idx="1">
                  <c:v>ALESSANDRA GUERRIERO</c:v>
                </c:pt>
                <c:pt idx="2">
                  <c:v>ANDREA PORTANOVA</c:v>
                </c:pt>
                <c:pt idx="3">
                  <c:v>CHIARA RAPELLI</c:v>
                </c:pt>
                <c:pt idx="4">
                  <c:v>DANTE ALIGHIERI</c:v>
                </c:pt>
                <c:pt idx="5">
                  <c:v>ENZA LOSAPPIO</c:v>
                </c:pt>
                <c:pt idx="6">
                  <c:v>FRANCA DE BELLIS</c:v>
                </c:pt>
                <c:pt idx="7">
                  <c:v>FRANCESCO IPPOLITO</c:v>
                </c:pt>
                <c:pt idx="8">
                  <c:v>GIULIA VOCINO</c:v>
                </c:pt>
                <c:pt idx="9">
                  <c:v>ISAAC NEWTON</c:v>
                </c:pt>
                <c:pt idx="10">
                  <c:v>JOHN WATSON</c:v>
                </c:pt>
                <c:pt idx="11">
                  <c:v>LEONARDO FIBONACCI</c:v>
                </c:pt>
                <c:pt idx="12">
                  <c:v>MARIA CHIARA BIONDI</c:v>
                </c:pt>
                <c:pt idx="13">
                  <c:v>NICOLO' COPERNICO</c:v>
                </c:pt>
                <c:pt idx="14">
                  <c:v>NIKOLA TESLA</c:v>
                </c:pt>
                <c:pt idx="15">
                  <c:v>SIMONA REALE</c:v>
                </c:pt>
              </c:strCache>
            </c:strRef>
          </c:cat>
          <c:val>
            <c:numRef>
              <c:f>'TAB PIV '!$C$100:$C$116</c:f>
              <c:numCache>
                <c:formatCode>General</c:formatCode>
                <c:ptCount val="16"/>
                <c:pt idx="0">
                  <c:v>200</c:v>
                </c:pt>
                <c:pt idx="1">
                  <c:v>150</c:v>
                </c:pt>
                <c:pt idx="7">
                  <c:v>100</c:v>
                </c:pt>
                <c:pt idx="12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472-4066-A183-F758BDD1B7D5}"/>
            </c:ext>
          </c:extLst>
        </c:ser>
        <c:ser>
          <c:idx val="1"/>
          <c:order val="1"/>
          <c:tx>
            <c:strRef>
              <c:f>'TAB PIV '!$D$96:$D$99</c:f>
              <c:strCache>
                <c:ptCount val="1"/>
                <c:pt idx="0">
                  <c:v>mag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cat>
            <c:strRef>
              <c:f>'TAB PIV '!$B$100:$B$116</c:f>
              <c:strCache>
                <c:ptCount val="16"/>
                <c:pt idx="0">
                  <c:v>ALBERT EINSTEIN</c:v>
                </c:pt>
                <c:pt idx="1">
                  <c:v>ALESSANDRA GUERRIERO</c:v>
                </c:pt>
                <c:pt idx="2">
                  <c:v>ANDREA PORTANOVA</c:v>
                </c:pt>
                <c:pt idx="3">
                  <c:v>CHIARA RAPELLI</c:v>
                </c:pt>
                <c:pt idx="4">
                  <c:v>DANTE ALIGHIERI</c:v>
                </c:pt>
                <c:pt idx="5">
                  <c:v>ENZA LOSAPPIO</c:v>
                </c:pt>
                <c:pt idx="6">
                  <c:v>FRANCA DE BELLIS</c:v>
                </c:pt>
                <c:pt idx="7">
                  <c:v>FRANCESCO IPPOLITO</c:v>
                </c:pt>
                <c:pt idx="8">
                  <c:v>GIULIA VOCINO</c:v>
                </c:pt>
                <c:pt idx="9">
                  <c:v>ISAAC NEWTON</c:v>
                </c:pt>
                <c:pt idx="10">
                  <c:v>JOHN WATSON</c:v>
                </c:pt>
                <c:pt idx="11">
                  <c:v>LEONARDO FIBONACCI</c:v>
                </c:pt>
                <c:pt idx="12">
                  <c:v>MARIA CHIARA BIONDI</c:v>
                </c:pt>
                <c:pt idx="13">
                  <c:v>NICOLO' COPERNICO</c:v>
                </c:pt>
                <c:pt idx="14">
                  <c:v>NIKOLA TESLA</c:v>
                </c:pt>
                <c:pt idx="15">
                  <c:v>SIMONA REALE</c:v>
                </c:pt>
              </c:strCache>
            </c:strRef>
          </c:cat>
          <c:val>
            <c:numRef>
              <c:f>'TAB PIV '!$D$100:$D$116</c:f>
              <c:numCache>
                <c:formatCode>General</c:formatCode>
                <c:ptCount val="16"/>
                <c:pt idx="2">
                  <c:v>200</c:v>
                </c:pt>
                <c:pt idx="5">
                  <c:v>200</c:v>
                </c:pt>
                <c:pt idx="6">
                  <c:v>90</c:v>
                </c:pt>
                <c:pt idx="8">
                  <c:v>200</c:v>
                </c:pt>
                <c:pt idx="10">
                  <c:v>200</c:v>
                </c:pt>
                <c:pt idx="11">
                  <c:v>160</c:v>
                </c:pt>
                <c:pt idx="13">
                  <c:v>120</c:v>
                </c:pt>
                <c:pt idx="14">
                  <c:v>200</c:v>
                </c:pt>
                <c:pt idx="1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472-4066-A183-F758BDD1B7D5}"/>
            </c:ext>
          </c:extLst>
        </c:ser>
        <c:ser>
          <c:idx val="2"/>
          <c:order val="2"/>
          <c:tx>
            <c:strRef>
              <c:f>'TAB PIV '!$E$96:$E$99</c:f>
              <c:strCache>
                <c:ptCount val="1"/>
                <c:pt idx="0">
                  <c:v>giu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cat>
            <c:strRef>
              <c:f>'TAB PIV '!$B$100:$B$116</c:f>
              <c:strCache>
                <c:ptCount val="16"/>
                <c:pt idx="0">
                  <c:v>ALBERT EINSTEIN</c:v>
                </c:pt>
                <c:pt idx="1">
                  <c:v>ALESSANDRA GUERRIERO</c:v>
                </c:pt>
                <c:pt idx="2">
                  <c:v>ANDREA PORTANOVA</c:v>
                </c:pt>
                <c:pt idx="3">
                  <c:v>CHIARA RAPELLI</c:v>
                </c:pt>
                <c:pt idx="4">
                  <c:v>DANTE ALIGHIERI</c:v>
                </c:pt>
                <c:pt idx="5">
                  <c:v>ENZA LOSAPPIO</c:v>
                </c:pt>
                <c:pt idx="6">
                  <c:v>FRANCA DE BELLIS</c:v>
                </c:pt>
                <c:pt idx="7">
                  <c:v>FRANCESCO IPPOLITO</c:v>
                </c:pt>
                <c:pt idx="8">
                  <c:v>GIULIA VOCINO</c:v>
                </c:pt>
                <c:pt idx="9">
                  <c:v>ISAAC NEWTON</c:v>
                </c:pt>
                <c:pt idx="10">
                  <c:v>JOHN WATSON</c:v>
                </c:pt>
                <c:pt idx="11">
                  <c:v>LEONARDO FIBONACCI</c:v>
                </c:pt>
                <c:pt idx="12">
                  <c:v>MARIA CHIARA BIONDI</c:v>
                </c:pt>
                <c:pt idx="13">
                  <c:v>NICOLO' COPERNICO</c:v>
                </c:pt>
                <c:pt idx="14">
                  <c:v>NIKOLA TESLA</c:v>
                </c:pt>
                <c:pt idx="15">
                  <c:v>SIMONA REALE</c:v>
                </c:pt>
              </c:strCache>
            </c:strRef>
          </c:cat>
          <c:val>
            <c:numRef>
              <c:f>'TAB PIV '!$E$100:$E$116</c:f>
              <c:numCache>
                <c:formatCode>General</c:formatCode>
                <c:ptCount val="16"/>
                <c:pt idx="3">
                  <c:v>200</c:v>
                </c:pt>
                <c:pt idx="4">
                  <c:v>100</c:v>
                </c:pt>
                <c:pt idx="9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472-4066-A183-F758BDD1B7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49394655"/>
        <c:axId val="55039455"/>
        <c:axId val="0"/>
      </c:bar3DChart>
      <c:catAx>
        <c:axId val="4939465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5039455"/>
        <c:crosses val="autoZero"/>
        <c:auto val="1"/>
        <c:lblAlgn val="ctr"/>
        <c:lblOffset val="100"/>
        <c:noMultiLvlLbl val="0"/>
      </c:catAx>
      <c:valAx>
        <c:axId val="5503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93946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[Modello Dati FormazioneGRUPPO2 DEF GF.xlsm222 (2).xlsm]TAB PIV !Tabella pivot5</c:name>
    <c:fmtId val="1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FATTURATO CORSI PER MONTE ORE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31750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4864220243500609E-2"/>
          <c:y val="8.6862306908039241E-2"/>
          <c:w val="0.81821879406599118"/>
          <c:h val="0.7028842713053836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'TAB PIV '!$C$119</c:f>
              <c:strCache>
                <c:ptCount val="1"/>
                <c:pt idx="0">
                  <c:v>ORE DEI CORSI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'TAB PIV '!$B$120:$B$136</c:f>
              <c:strCache>
                <c:ptCount val="16"/>
                <c:pt idx="0">
                  <c:v>ALBERT EINSTEIN</c:v>
                </c:pt>
                <c:pt idx="1">
                  <c:v>ALESSANDRA GUERRIERO</c:v>
                </c:pt>
                <c:pt idx="2">
                  <c:v>ANDREA PORTANOVA</c:v>
                </c:pt>
                <c:pt idx="3">
                  <c:v>CHIARA RAPELLI</c:v>
                </c:pt>
                <c:pt idx="4">
                  <c:v>DANTE ALIGHIERI</c:v>
                </c:pt>
                <c:pt idx="5">
                  <c:v>ENZA LOSAPPIO</c:v>
                </c:pt>
                <c:pt idx="6">
                  <c:v>FRANCA DE BELLIS</c:v>
                </c:pt>
                <c:pt idx="7">
                  <c:v>FRANCESCO IPPOLITO</c:v>
                </c:pt>
                <c:pt idx="8">
                  <c:v>GIULIA VOCINO</c:v>
                </c:pt>
                <c:pt idx="9">
                  <c:v>ISAAC NEWTON</c:v>
                </c:pt>
                <c:pt idx="10">
                  <c:v>JOHN WATSON</c:v>
                </c:pt>
                <c:pt idx="11">
                  <c:v>LEONARDO FIBONACCI</c:v>
                </c:pt>
                <c:pt idx="12">
                  <c:v>MARIA CHIARA BIONDI</c:v>
                </c:pt>
                <c:pt idx="13">
                  <c:v>NICOLO' COPERNICO</c:v>
                </c:pt>
                <c:pt idx="14">
                  <c:v>NIKOLA TESLA</c:v>
                </c:pt>
                <c:pt idx="15">
                  <c:v>SIMONA REALE</c:v>
                </c:pt>
              </c:strCache>
            </c:strRef>
          </c:cat>
          <c:val>
            <c:numRef>
              <c:f>'TAB PIV '!$C$120:$C$136</c:f>
              <c:numCache>
                <c:formatCode>General</c:formatCode>
                <c:ptCount val="16"/>
                <c:pt idx="0">
                  <c:v>200</c:v>
                </c:pt>
                <c:pt idx="1">
                  <c:v>150</c:v>
                </c:pt>
                <c:pt idx="2">
                  <c:v>200</c:v>
                </c:pt>
                <c:pt idx="3">
                  <c:v>200</c:v>
                </c:pt>
                <c:pt idx="4">
                  <c:v>100</c:v>
                </c:pt>
                <c:pt idx="5">
                  <c:v>200</c:v>
                </c:pt>
                <c:pt idx="6">
                  <c:v>90</c:v>
                </c:pt>
                <c:pt idx="7">
                  <c:v>100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160</c:v>
                </c:pt>
                <c:pt idx="12">
                  <c:v>200</c:v>
                </c:pt>
                <c:pt idx="13">
                  <c:v>120</c:v>
                </c:pt>
                <c:pt idx="14">
                  <c:v>200</c:v>
                </c:pt>
                <c:pt idx="1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BC-4477-9CA3-F6EEE980C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9660671"/>
        <c:axId val="2128662336"/>
      </c:barChart>
      <c:lineChart>
        <c:grouping val="standard"/>
        <c:varyColors val="0"/>
        <c:ser>
          <c:idx val="1"/>
          <c:order val="1"/>
          <c:tx>
            <c:strRef>
              <c:f>'TAB PIV '!$D$119</c:f>
              <c:strCache>
                <c:ptCount val="1"/>
                <c:pt idx="0">
                  <c:v>FATTURATO CORSO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'TAB PIV '!$B$120:$B$136</c:f>
              <c:strCache>
                <c:ptCount val="16"/>
                <c:pt idx="0">
                  <c:v>ALBERT EINSTEIN</c:v>
                </c:pt>
                <c:pt idx="1">
                  <c:v>ALESSANDRA GUERRIERO</c:v>
                </c:pt>
                <c:pt idx="2">
                  <c:v>ANDREA PORTANOVA</c:v>
                </c:pt>
                <c:pt idx="3">
                  <c:v>CHIARA RAPELLI</c:v>
                </c:pt>
                <c:pt idx="4">
                  <c:v>DANTE ALIGHIERI</c:v>
                </c:pt>
                <c:pt idx="5">
                  <c:v>ENZA LOSAPPIO</c:v>
                </c:pt>
                <c:pt idx="6">
                  <c:v>FRANCA DE BELLIS</c:v>
                </c:pt>
                <c:pt idx="7">
                  <c:v>FRANCESCO IPPOLITO</c:v>
                </c:pt>
                <c:pt idx="8">
                  <c:v>GIULIA VOCINO</c:v>
                </c:pt>
                <c:pt idx="9">
                  <c:v>ISAAC NEWTON</c:v>
                </c:pt>
                <c:pt idx="10">
                  <c:v>JOHN WATSON</c:v>
                </c:pt>
                <c:pt idx="11">
                  <c:v>LEONARDO FIBONACCI</c:v>
                </c:pt>
                <c:pt idx="12">
                  <c:v>MARIA CHIARA BIONDI</c:v>
                </c:pt>
                <c:pt idx="13">
                  <c:v>NICOLO' COPERNICO</c:v>
                </c:pt>
                <c:pt idx="14">
                  <c:v>NIKOLA TESLA</c:v>
                </c:pt>
                <c:pt idx="15">
                  <c:v>SIMONA REALE</c:v>
                </c:pt>
              </c:strCache>
            </c:strRef>
          </c:cat>
          <c:val>
            <c:numRef>
              <c:f>'TAB PIV '!$D$120:$D$136</c:f>
              <c:numCache>
                <c:formatCode>General</c:formatCode>
                <c:ptCount val="16"/>
                <c:pt idx="0">
                  <c:v>100000</c:v>
                </c:pt>
                <c:pt idx="1">
                  <c:v>22500</c:v>
                </c:pt>
                <c:pt idx="2">
                  <c:v>50000</c:v>
                </c:pt>
                <c:pt idx="3">
                  <c:v>100000</c:v>
                </c:pt>
                <c:pt idx="4">
                  <c:v>12000</c:v>
                </c:pt>
                <c:pt idx="5">
                  <c:v>60000</c:v>
                </c:pt>
                <c:pt idx="6">
                  <c:v>9000</c:v>
                </c:pt>
                <c:pt idx="7">
                  <c:v>30000</c:v>
                </c:pt>
                <c:pt idx="8">
                  <c:v>100000</c:v>
                </c:pt>
                <c:pt idx="9">
                  <c:v>80000</c:v>
                </c:pt>
                <c:pt idx="10">
                  <c:v>50000</c:v>
                </c:pt>
                <c:pt idx="11">
                  <c:v>40000</c:v>
                </c:pt>
                <c:pt idx="12">
                  <c:v>80000</c:v>
                </c:pt>
                <c:pt idx="13">
                  <c:v>42000</c:v>
                </c:pt>
                <c:pt idx="14">
                  <c:v>100000</c:v>
                </c:pt>
                <c:pt idx="15">
                  <c:v>100000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FBC-4477-9CA3-F6EEE980C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2007375"/>
        <c:axId val="2128640256"/>
      </c:lineChart>
      <c:catAx>
        <c:axId val="5420073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28640256"/>
        <c:crosses val="autoZero"/>
        <c:auto val="1"/>
        <c:lblAlgn val="ctr"/>
        <c:lblOffset val="100"/>
        <c:noMultiLvlLbl val="0"/>
      </c:catAx>
      <c:valAx>
        <c:axId val="21286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2007375"/>
        <c:crosses val="autoZero"/>
        <c:crossBetween val="between"/>
      </c:valAx>
      <c:valAx>
        <c:axId val="21286623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69660671"/>
        <c:crosses val="max"/>
        <c:crossBetween val="between"/>
      </c:valAx>
      <c:catAx>
        <c:axId val="5696606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286623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555364433211898"/>
          <c:y val="0.88320428871098966"/>
          <c:w val="0.46858238385688522"/>
          <c:h val="0.111648486307704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[Modello Dati FormazioneGRUPPO2 DEF GF.xlsm222 (2).xlsm]TAB PIV !Tabella pivot7</c:name>
    <c:fmtId val="2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MONTE ORE PER MATERA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'TAB PIV '!$C$139</c:f>
              <c:strCache>
                <c:ptCount val="1"/>
                <c:pt idx="0">
                  <c:v>Totale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cat>
            <c:strRef>
              <c:f>'TAB PIV '!$B$140:$B$156</c:f>
              <c:strCache>
                <c:ptCount val="16"/>
                <c:pt idx="0">
                  <c:v>FISICA 1</c:v>
                </c:pt>
                <c:pt idx="1">
                  <c:v>FISICA 2</c:v>
                </c:pt>
                <c:pt idx="2">
                  <c:v>FISICA 3</c:v>
                </c:pt>
                <c:pt idx="3">
                  <c:v>FISICA 4</c:v>
                </c:pt>
                <c:pt idx="4">
                  <c:v>INGLESE 1</c:v>
                </c:pt>
                <c:pt idx="5">
                  <c:v>INGLESE 2</c:v>
                </c:pt>
                <c:pt idx="6">
                  <c:v>INGLESE 3</c:v>
                </c:pt>
                <c:pt idx="7">
                  <c:v>INGLESE 4</c:v>
                </c:pt>
                <c:pt idx="8">
                  <c:v>ITALIANO 1</c:v>
                </c:pt>
                <c:pt idx="9">
                  <c:v>ITALIANO 2</c:v>
                </c:pt>
                <c:pt idx="10">
                  <c:v>ITALIANO 3</c:v>
                </c:pt>
                <c:pt idx="11">
                  <c:v>ITALIANO 4</c:v>
                </c:pt>
                <c:pt idx="12">
                  <c:v>MATEMATICA 1</c:v>
                </c:pt>
                <c:pt idx="13">
                  <c:v>MATEMATICA 2</c:v>
                </c:pt>
                <c:pt idx="14">
                  <c:v>MATEMATICA 3</c:v>
                </c:pt>
                <c:pt idx="15">
                  <c:v>MATEMATICA 4</c:v>
                </c:pt>
              </c:strCache>
            </c:strRef>
          </c:cat>
          <c:val>
            <c:numRef>
              <c:f>'TAB PIV '!$C$140:$C$156</c:f>
              <c:numCache>
                <c:formatCode>General</c:formatCode>
                <c:ptCount val="16"/>
                <c:pt idx="0">
                  <c:v>200</c:v>
                </c:pt>
                <c:pt idx="1">
                  <c:v>200</c:v>
                </c:pt>
                <c:pt idx="2">
                  <c:v>120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100</c:v>
                </c:pt>
                <c:pt idx="7">
                  <c:v>200</c:v>
                </c:pt>
                <c:pt idx="8">
                  <c:v>100</c:v>
                </c:pt>
                <c:pt idx="9">
                  <c:v>150</c:v>
                </c:pt>
                <c:pt idx="10">
                  <c:v>90</c:v>
                </c:pt>
                <c:pt idx="11">
                  <c:v>200</c:v>
                </c:pt>
                <c:pt idx="12">
                  <c:v>200</c:v>
                </c:pt>
                <c:pt idx="13">
                  <c:v>160</c:v>
                </c:pt>
                <c:pt idx="14">
                  <c:v>200</c:v>
                </c:pt>
                <c:pt idx="1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35-4535-BBB6-3E0C5C6B54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9651855"/>
        <c:axId val="2130228432"/>
        <c:axId val="0"/>
      </c:bar3DChart>
      <c:catAx>
        <c:axId val="56965185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30228432"/>
        <c:crosses val="autoZero"/>
        <c:auto val="1"/>
        <c:lblAlgn val="ctr"/>
        <c:lblOffset val="100"/>
        <c:noMultiLvlLbl val="0"/>
      </c:catAx>
      <c:valAx>
        <c:axId val="2130228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69651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609402270005981"/>
          <c:y val="7.6622180375950314E-3"/>
          <c:w val="7.5060666273883456E-2"/>
          <c:h val="2.771615234590963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35699583"/>
        <c:axId val="1017556015"/>
      </c:barChart>
      <c:catAx>
        <c:axId val="213569958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17556015"/>
        <c:crosses val="autoZero"/>
        <c:auto val="1"/>
        <c:lblAlgn val="ctr"/>
        <c:lblOffset val="100"/>
        <c:noMultiLvlLbl val="0"/>
      </c:catAx>
      <c:valAx>
        <c:axId val="1017556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356995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extLst>
    <c:ext xmlns:c15="http://schemas.microsoft.com/office/drawing/2012/chart" uri="{723BEF56-08C2-4564-9609-F4CBC75E7E54}">
      <c15:pivotSource>
        <c15:name>[Modello Dati FormazioneGRUPPO2 DEF GF.xlsm222 (2).xlsm]PivotChartTable4</c15:name>
        <c15:fmtId val="0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[Modello Dati FormazioneGRUPPO2 DEF GF.xlsm222 (2).xlsm]TAB PIV !Tabella pivot1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'TAB PIV '!$K$3</c:f>
              <c:strCache>
                <c:ptCount val="1"/>
                <c:pt idx="0">
                  <c:v>Somma di COSTO TOTALE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'TAB PIV '!$J$4:$J$8</c:f>
              <c:strCache>
                <c:ptCount val="4"/>
                <c:pt idx="0">
                  <c:v>FISICA</c:v>
                </c:pt>
                <c:pt idx="1">
                  <c:v>INGLESE</c:v>
                </c:pt>
                <c:pt idx="2">
                  <c:v>ITALIANO</c:v>
                </c:pt>
                <c:pt idx="3">
                  <c:v>MATEMATICA</c:v>
                </c:pt>
              </c:strCache>
            </c:strRef>
          </c:cat>
          <c:val>
            <c:numRef>
              <c:f>'TAB PIV '!$K$4:$K$8</c:f>
              <c:numCache>
                <c:formatCode>General</c:formatCode>
                <c:ptCount val="4"/>
                <c:pt idx="0">
                  <c:v>322000</c:v>
                </c:pt>
                <c:pt idx="1">
                  <c:v>280000</c:v>
                </c:pt>
                <c:pt idx="2">
                  <c:v>93500</c:v>
                </c:pt>
                <c:pt idx="3">
                  <c:v>280000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21-4C16-B9E3-335BBCAAFF96}"/>
            </c:ext>
          </c:extLst>
        </c:ser>
        <c:ser>
          <c:idx val="1"/>
          <c:order val="1"/>
          <c:tx>
            <c:strRef>
              <c:f>'TAB PIV '!$L$3</c:f>
              <c:strCache>
                <c:ptCount val="1"/>
                <c:pt idx="0">
                  <c:v>Somma di ORE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'TAB PIV '!$J$4:$J$8</c:f>
              <c:strCache>
                <c:ptCount val="4"/>
                <c:pt idx="0">
                  <c:v>FISICA</c:v>
                </c:pt>
                <c:pt idx="1">
                  <c:v>INGLESE</c:v>
                </c:pt>
                <c:pt idx="2">
                  <c:v>ITALIANO</c:v>
                </c:pt>
                <c:pt idx="3">
                  <c:v>MATEMATICA</c:v>
                </c:pt>
              </c:strCache>
            </c:strRef>
          </c:cat>
          <c:val>
            <c:numRef>
              <c:f>'TAB PIV '!$L$4:$L$8</c:f>
              <c:numCache>
                <c:formatCode>General</c:formatCode>
                <c:ptCount val="4"/>
                <c:pt idx="0">
                  <c:v>720</c:v>
                </c:pt>
                <c:pt idx="1">
                  <c:v>700</c:v>
                </c:pt>
                <c:pt idx="2">
                  <c:v>540</c:v>
                </c:pt>
                <c:pt idx="3">
                  <c:v>760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21-4C16-B9E3-335BBCAAFF96}"/>
            </c:ext>
          </c:extLst>
        </c:ser>
        <c:ser>
          <c:idx val="2"/>
          <c:order val="2"/>
          <c:tx>
            <c:strRef>
              <c:f>'TAB PIV '!$M$3</c:f>
              <c:strCache>
                <c:ptCount val="1"/>
                <c:pt idx="0">
                  <c:v>Somma di PREZZO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'TAB PIV '!$J$4:$J$8</c:f>
              <c:strCache>
                <c:ptCount val="4"/>
                <c:pt idx="0">
                  <c:v>FISICA</c:v>
                </c:pt>
                <c:pt idx="1">
                  <c:v>INGLESE</c:v>
                </c:pt>
                <c:pt idx="2">
                  <c:v>ITALIANO</c:v>
                </c:pt>
                <c:pt idx="3">
                  <c:v>MATEMATICA</c:v>
                </c:pt>
              </c:strCache>
            </c:strRef>
          </c:cat>
          <c:val>
            <c:numRef>
              <c:f>'TAB PIV '!$M$4:$M$8</c:f>
              <c:numCache>
                <c:formatCode>General</c:formatCode>
                <c:ptCount val="4"/>
                <c:pt idx="0">
                  <c:v>1750</c:v>
                </c:pt>
                <c:pt idx="1">
                  <c:v>1550</c:v>
                </c:pt>
                <c:pt idx="2">
                  <c:v>620</c:v>
                </c:pt>
                <c:pt idx="3">
                  <c:v>1450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21-4C16-B9E3-335BBCAAFF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2780736"/>
        <c:axId val="1901181423"/>
        <c:axId val="0"/>
      </c:bar3DChart>
      <c:catAx>
        <c:axId val="92780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01181423"/>
        <c:crosses val="autoZero"/>
        <c:auto val="1"/>
        <c:lblAlgn val="ctr"/>
        <c:lblOffset val="100"/>
        <c:noMultiLvlLbl val="0"/>
      </c:catAx>
      <c:valAx>
        <c:axId val="1901181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2780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4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9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2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9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1</xdr:row>
      <xdr:rowOff>61913</xdr:rowOff>
    </xdr:from>
    <xdr:to>
      <xdr:col>16</xdr:col>
      <xdr:colOff>345757</xdr:colOff>
      <xdr:row>8</xdr:row>
      <xdr:rowOff>67628</xdr:rowOff>
    </xdr:to>
    <xdr:sp macro="" textlink="">
      <xdr:nvSpPr>
        <xdr:cNvPr id="2" name="Rettangolo con angoli arrotondati 1">
          <a:extLst>
            <a:ext uri="{FF2B5EF4-FFF2-40B4-BE49-F238E27FC236}">
              <a16:creationId xmlns:a16="http://schemas.microsoft.com/office/drawing/2014/main" id="{F91CC1FA-1418-4AC9-AB01-58B16A242A92}"/>
            </a:ext>
          </a:extLst>
        </xdr:cNvPr>
        <xdr:cNvSpPr/>
      </xdr:nvSpPr>
      <xdr:spPr>
        <a:xfrm>
          <a:off x="2657475" y="242888"/>
          <a:ext cx="8051482" cy="1272540"/>
        </a:xfrm>
        <a:prstGeom prst="roundRect">
          <a:avLst/>
        </a:prstGeom>
        <a:solidFill>
          <a:srgbClr val="002060"/>
        </a:solidFill>
        <a:ln w="19050">
          <a:solidFill>
            <a:schemeClr val="tx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tIns="46800" rtlCol="0" anchor="ctr" anchorCtr="1"/>
        <a:lstStyle/>
        <a:p>
          <a:pPr algn="ctr"/>
          <a:r>
            <a:rPr lang="it-IT" sz="4800" b="1" cap="none" spc="50" baseline="0">
              <a:ln w="0">
                <a:solidFill>
                  <a:srgbClr val="FF0000"/>
                </a:solidFill>
              </a:ln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  <a:reflection blurRad="6350" stA="50000" endA="300" endPos="50000" dist="29997" dir="5400000" sy="-100000" algn="bl" rotWithShape="0"/>
              </a:effectLst>
              <a:latin typeface="+mn-lt"/>
              <a:ea typeface="+mn-ea"/>
              <a:cs typeface="+mn-cs"/>
            </a:rPr>
            <a:t>GRANDI SQUOLE</a:t>
          </a:r>
        </a:p>
      </xdr:txBody>
    </xdr:sp>
    <xdr:clientData/>
  </xdr:twoCellAnchor>
  <xdr:twoCellAnchor>
    <xdr:from>
      <xdr:col>4</xdr:col>
      <xdr:colOff>129540</xdr:colOff>
      <xdr:row>9</xdr:row>
      <xdr:rowOff>14287</xdr:rowOff>
    </xdr:from>
    <xdr:to>
      <xdr:col>16</xdr:col>
      <xdr:colOff>381000</xdr:colOff>
      <xdr:row>16</xdr:row>
      <xdr:rowOff>7462</xdr:rowOff>
    </xdr:to>
    <xdr:sp macro="[0]!vai_inserisci" textlink="">
      <xdr:nvSpPr>
        <xdr:cNvPr id="3" name="Rettangolo con angoli arrotondati 2">
          <a:extLst>
            <a:ext uri="{FF2B5EF4-FFF2-40B4-BE49-F238E27FC236}">
              <a16:creationId xmlns:a16="http://schemas.microsoft.com/office/drawing/2014/main" id="{4A8A5BB7-AB4F-49C3-A114-E14850F039A5}"/>
            </a:ext>
          </a:extLst>
        </xdr:cNvPr>
        <xdr:cNvSpPr/>
      </xdr:nvSpPr>
      <xdr:spPr>
        <a:xfrm>
          <a:off x="2598420" y="1660207"/>
          <a:ext cx="7658100" cy="1273335"/>
        </a:xfrm>
        <a:prstGeom prst="roundRect">
          <a:avLst/>
        </a:prstGeom>
        <a:solidFill>
          <a:srgbClr val="FF0000"/>
        </a:solidFill>
        <a:ln w="19050">
          <a:solidFill>
            <a:schemeClr val="tx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tIns="46800" rtlCol="0" anchor="ctr" anchorCtr="1"/>
        <a:lstStyle/>
        <a:p>
          <a:pPr algn="ctr"/>
          <a:r>
            <a:rPr lang="it-IT" sz="4800" b="1" cap="none" spc="50">
              <a:ln w="0">
                <a:solidFill>
                  <a:sysClr val="windowText" lastClr="000000"/>
                </a:solidFill>
              </a:ln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  <a:reflection blurRad="6350" stA="50000" endA="300" endPos="50000" dist="29997" dir="5400000" sy="-100000" algn="bl" rotWithShape="0"/>
              </a:effectLst>
            </a:rPr>
            <a:t>I</a:t>
          </a:r>
          <a:r>
            <a:rPr lang="it-IT" sz="4800" b="1" cap="none" spc="50" baseline="0">
              <a:ln w="0">
                <a:solidFill>
                  <a:sysClr val="windowText" lastClr="000000"/>
                </a:solidFill>
              </a:ln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  <a:reflection blurRad="6350" stA="50000" endA="300" endPos="50000" dist="29997" dir="5400000" sy="-100000" algn="bl" rotWithShape="0"/>
              </a:effectLst>
            </a:rPr>
            <a:t>NSERIMENTO DATI</a:t>
          </a:r>
          <a:endParaRPr lang="it-IT" sz="4800" b="1" cap="none" spc="50">
            <a:ln w="0">
              <a:solidFill>
                <a:sysClr val="windowText" lastClr="000000"/>
              </a:solidFill>
            </a:ln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  <a:reflection blurRad="6350" stA="50000" endA="300" endPos="50000" dist="29997" dir="5400000" sy="-100000" algn="bl" rotWithShape="0"/>
            </a:effectLst>
          </a:endParaRPr>
        </a:p>
      </xdr:txBody>
    </xdr:sp>
    <xdr:clientData/>
  </xdr:twoCellAnchor>
  <xdr:twoCellAnchor>
    <xdr:from>
      <xdr:col>4</xdr:col>
      <xdr:colOff>137160</xdr:colOff>
      <xdr:row>16</xdr:row>
      <xdr:rowOff>128588</xdr:rowOff>
    </xdr:from>
    <xdr:to>
      <xdr:col>16</xdr:col>
      <xdr:colOff>419100</xdr:colOff>
      <xdr:row>23</xdr:row>
      <xdr:rowOff>121763</xdr:rowOff>
    </xdr:to>
    <xdr:sp macro="[0]!vai_ricerca_docente" textlink="">
      <xdr:nvSpPr>
        <xdr:cNvPr id="4" name="Rettangolo con angoli arrotondati 3">
          <a:extLst>
            <a:ext uri="{FF2B5EF4-FFF2-40B4-BE49-F238E27FC236}">
              <a16:creationId xmlns:a16="http://schemas.microsoft.com/office/drawing/2014/main" id="{6C1B3D52-44DB-4C57-9222-F8C476B82B33}"/>
            </a:ext>
          </a:extLst>
        </xdr:cNvPr>
        <xdr:cNvSpPr/>
      </xdr:nvSpPr>
      <xdr:spPr>
        <a:xfrm>
          <a:off x="2606040" y="3054668"/>
          <a:ext cx="7688580" cy="1273335"/>
        </a:xfrm>
        <a:prstGeom prst="roundRect">
          <a:avLst/>
        </a:prstGeom>
        <a:solidFill>
          <a:schemeClr val="accent2"/>
        </a:solidFill>
        <a:ln w="19050">
          <a:solidFill>
            <a:schemeClr val="tx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tIns="46800" rtlCol="0" anchor="ctr" anchorCtr="1"/>
        <a:lstStyle/>
        <a:p>
          <a:pPr algn="ctr"/>
          <a:r>
            <a:rPr lang="it-IT" sz="4800" b="1" cap="none" spc="50">
              <a:ln w="0">
                <a:solidFill>
                  <a:sysClr val="windowText" lastClr="000000"/>
                </a:solidFill>
              </a:ln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  <a:reflection blurRad="6350" stA="50000" endA="300" endPos="50000" dist="29997" dir="5400000" sy="-100000" algn="bl" rotWithShape="0"/>
              </a:effectLst>
            </a:rPr>
            <a:t>RICERCA DOCENTE</a:t>
          </a:r>
        </a:p>
      </xdr:txBody>
    </xdr:sp>
    <xdr:clientData/>
  </xdr:twoCellAnchor>
  <xdr:twoCellAnchor>
    <xdr:from>
      <xdr:col>4</xdr:col>
      <xdr:colOff>198120</xdr:colOff>
      <xdr:row>24</xdr:row>
      <xdr:rowOff>61913</xdr:rowOff>
    </xdr:from>
    <xdr:to>
      <xdr:col>16</xdr:col>
      <xdr:colOff>441960</xdr:colOff>
      <xdr:row>31</xdr:row>
      <xdr:rowOff>55088</xdr:rowOff>
    </xdr:to>
    <xdr:sp macro="[0]!vai_ANALISI" textlink="">
      <xdr:nvSpPr>
        <xdr:cNvPr id="5" name="Rettangolo con angoli arrotondati 4">
          <a:extLst>
            <a:ext uri="{FF2B5EF4-FFF2-40B4-BE49-F238E27FC236}">
              <a16:creationId xmlns:a16="http://schemas.microsoft.com/office/drawing/2014/main" id="{70ED4E47-46A1-4CC2-810A-9D484EDD7828}"/>
            </a:ext>
          </a:extLst>
        </xdr:cNvPr>
        <xdr:cNvSpPr/>
      </xdr:nvSpPr>
      <xdr:spPr>
        <a:xfrm>
          <a:off x="2667000" y="4451033"/>
          <a:ext cx="7650480" cy="1273335"/>
        </a:xfrm>
        <a:prstGeom prst="roundRect">
          <a:avLst/>
        </a:prstGeom>
        <a:solidFill>
          <a:srgbClr val="FFFF00"/>
        </a:solidFill>
        <a:ln w="19050">
          <a:solidFill>
            <a:schemeClr val="tx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tIns="46800" rtlCol="0" anchor="ctr" anchorCtr="1"/>
        <a:lstStyle/>
        <a:p>
          <a:pPr algn="ctr"/>
          <a:r>
            <a:rPr lang="it-IT" sz="4800" b="1" cap="none" spc="50">
              <a:ln w="0">
                <a:solidFill>
                  <a:sysClr val="windowText" lastClr="000000"/>
                </a:solidFill>
              </a:ln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  <a:reflection blurRad="6350" stA="50000" endA="300" endPos="50000" dist="29997" dir="5400000" sy="-100000" algn="bl" rotWithShape="0"/>
              </a:effectLst>
            </a:rPr>
            <a:t>ANALISI</a:t>
          </a:r>
        </a:p>
      </xdr:txBody>
    </xdr:sp>
    <xdr:clientData/>
  </xdr:twoCellAnchor>
  <xdr:twoCellAnchor>
    <xdr:from>
      <xdr:col>4</xdr:col>
      <xdr:colOff>213360</xdr:colOff>
      <xdr:row>31</xdr:row>
      <xdr:rowOff>180975</xdr:rowOff>
    </xdr:from>
    <xdr:to>
      <xdr:col>16</xdr:col>
      <xdr:colOff>472440</xdr:colOff>
      <xdr:row>38</xdr:row>
      <xdr:rowOff>174150</xdr:rowOff>
    </xdr:to>
    <xdr:sp macro="[0]!HOME_GRAFICI" textlink="">
      <xdr:nvSpPr>
        <xdr:cNvPr id="6" name="Rettangolo con angoli arrotondati 5">
          <a:extLst>
            <a:ext uri="{FF2B5EF4-FFF2-40B4-BE49-F238E27FC236}">
              <a16:creationId xmlns:a16="http://schemas.microsoft.com/office/drawing/2014/main" id="{0132D5E6-E376-463E-BE7B-575875A8918D}"/>
            </a:ext>
          </a:extLst>
        </xdr:cNvPr>
        <xdr:cNvSpPr/>
      </xdr:nvSpPr>
      <xdr:spPr>
        <a:xfrm>
          <a:off x="2682240" y="5850255"/>
          <a:ext cx="7665720" cy="1273335"/>
        </a:xfrm>
        <a:prstGeom prst="roundRect">
          <a:avLst/>
        </a:prstGeom>
        <a:solidFill>
          <a:srgbClr val="0070C0"/>
        </a:solidFill>
        <a:ln w="19050">
          <a:solidFill>
            <a:schemeClr val="tx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tIns="46800" rtlCol="0" anchor="ctr" anchorCtr="1"/>
        <a:lstStyle/>
        <a:p>
          <a:pPr algn="ctr"/>
          <a:r>
            <a:rPr lang="it-IT" sz="4800" b="1" cap="none" spc="50">
              <a:ln w="0">
                <a:solidFill>
                  <a:sysClr val="windowText" lastClr="000000"/>
                </a:solidFill>
              </a:ln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  <a:reflection blurRad="6350" stA="50000" endA="300" endPos="50000" dist="29997" dir="5400000" sy="-100000" algn="bl" rotWithShape="0"/>
              </a:effectLst>
            </a:rPr>
            <a:t>GRAFICI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42863</xdr:colOff>
      <xdr:row>9</xdr:row>
      <xdr:rowOff>90489</xdr:rowOff>
    </xdr:from>
    <xdr:to>
      <xdr:col>1</xdr:col>
      <xdr:colOff>1033463</xdr:colOff>
      <xdr:row>10</xdr:row>
      <xdr:rowOff>323852</xdr:rowOff>
    </xdr:to>
    <xdr:sp macro="[0]!conferma_sede" textlink="">
      <xdr:nvSpPr>
        <xdr:cNvPr id="3" name="Elaborazione alternativa 2">
          <a:extLst>
            <a:ext uri="{FF2B5EF4-FFF2-40B4-BE49-F238E27FC236}">
              <a16:creationId xmlns:a16="http://schemas.microsoft.com/office/drawing/2014/main" id="{35DAF162-5485-46BE-B79E-9DC93389F331}"/>
            </a:ext>
          </a:extLst>
        </xdr:cNvPr>
        <xdr:cNvSpPr/>
      </xdr:nvSpPr>
      <xdr:spPr>
        <a:xfrm>
          <a:off x="919163" y="3300414"/>
          <a:ext cx="990600" cy="509588"/>
        </a:xfrm>
        <a:prstGeom prst="flowChartAlternateProcess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r>
            <a:rPr lang="it-IT" sz="1400" b="1">
              <a:ln>
                <a:solidFill>
                  <a:schemeClr val="tx1"/>
                </a:solidFill>
              </a:ln>
              <a:solidFill>
                <a:schemeClr val="bg1"/>
              </a:solidFill>
            </a:rPr>
            <a:t>Conferma</a:t>
          </a:r>
        </a:p>
      </xdr:txBody>
    </xdr:sp>
    <xdr:clientData/>
  </xdr:twoCellAnchor>
  <xdr:twoCellAnchor>
    <xdr:from>
      <xdr:col>1</xdr:col>
      <xdr:colOff>71438</xdr:colOff>
      <xdr:row>23</xdr:row>
      <xdr:rowOff>109538</xdr:rowOff>
    </xdr:from>
    <xdr:to>
      <xdr:col>2</xdr:col>
      <xdr:colOff>61913</xdr:colOff>
      <xdr:row>24</xdr:row>
      <xdr:rowOff>338138</xdr:rowOff>
    </xdr:to>
    <xdr:sp macro="[0]!Modulo1.conferma_docente" textlink="">
      <xdr:nvSpPr>
        <xdr:cNvPr id="10" name="Elaborazione alternativa 9">
          <a:extLst>
            <a:ext uri="{FF2B5EF4-FFF2-40B4-BE49-F238E27FC236}">
              <a16:creationId xmlns:a16="http://schemas.microsoft.com/office/drawing/2014/main" id="{D91B1911-4133-4AC0-B57C-E03EADD8F240}"/>
            </a:ext>
          </a:extLst>
        </xdr:cNvPr>
        <xdr:cNvSpPr/>
      </xdr:nvSpPr>
      <xdr:spPr>
        <a:xfrm>
          <a:off x="947738" y="6215063"/>
          <a:ext cx="1028700" cy="504825"/>
        </a:xfrm>
        <a:prstGeom prst="flowChartAlternateProcess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r>
            <a:rPr lang="it-IT" sz="1400" b="1">
              <a:ln>
                <a:solidFill>
                  <a:schemeClr val="tx1"/>
                </a:solidFill>
              </a:ln>
              <a:solidFill>
                <a:schemeClr val="bg1"/>
              </a:solidFill>
            </a:rPr>
            <a:t>Conferma</a:t>
          </a:r>
        </a:p>
      </xdr:txBody>
    </xdr:sp>
    <xdr:clientData/>
  </xdr:twoCellAnchor>
  <xdr:twoCellAnchor>
    <xdr:from>
      <xdr:col>4</xdr:col>
      <xdr:colOff>38100</xdr:colOff>
      <xdr:row>9</xdr:row>
      <xdr:rowOff>104775</xdr:rowOff>
    </xdr:from>
    <xdr:to>
      <xdr:col>5</xdr:col>
      <xdr:colOff>0</xdr:colOff>
      <xdr:row>10</xdr:row>
      <xdr:rowOff>338138</xdr:rowOff>
    </xdr:to>
    <xdr:sp macro="[0]!Modulo1.conferma_corso" textlink="">
      <xdr:nvSpPr>
        <xdr:cNvPr id="11" name="Elaborazione alternativa 10">
          <a:extLst>
            <a:ext uri="{FF2B5EF4-FFF2-40B4-BE49-F238E27FC236}">
              <a16:creationId xmlns:a16="http://schemas.microsoft.com/office/drawing/2014/main" id="{70839DBC-677D-4143-8BCD-4FA786992760}"/>
            </a:ext>
          </a:extLst>
        </xdr:cNvPr>
        <xdr:cNvSpPr/>
      </xdr:nvSpPr>
      <xdr:spPr>
        <a:xfrm>
          <a:off x="6610350" y="3314700"/>
          <a:ext cx="1000125" cy="509588"/>
        </a:xfrm>
        <a:prstGeom prst="flowChartAlternateProcess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r>
            <a:rPr lang="it-IT" sz="1400" b="1">
              <a:ln>
                <a:solidFill>
                  <a:schemeClr val="tx1"/>
                </a:solidFill>
              </a:ln>
              <a:solidFill>
                <a:schemeClr val="bg1"/>
              </a:solidFill>
            </a:rPr>
            <a:t>Conferma</a:t>
          </a:r>
        </a:p>
      </xdr:txBody>
    </xdr:sp>
    <xdr:clientData/>
  </xdr:twoCellAnchor>
  <xdr:twoCellAnchor>
    <xdr:from>
      <xdr:col>4</xdr:col>
      <xdr:colOff>38100</xdr:colOff>
      <xdr:row>23</xdr:row>
      <xdr:rowOff>109538</xdr:rowOff>
    </xdr:from>
    <xdr:to>
      <xdr:col>5</xdr:col>
      <xdr:colOff>0</xdr:colOff>
      <xdr:row>24</xdr:row>
      <xdr:rowOff>338138</xdr:rowOff>
    </xdr:to>
    <xdr:sp macro="[0]!conferma_programmazione" textlink="">
      <xdr:nvSpPr>
        <xdr:cNvPr id="12" name="Elaborazione alternativa 11">
          <a:extLst>
            <a:ext uri="{FF2B5EF4-FFF2-40B4-BE49-F238E27FC236}">
              <a16:creationId xmlns:a16="http://schemas.microsoft.com/office/drawing/2014/main" id="{B8C46B26-624F-42B6-AD6F-29E410A7BC01}"/>
            </a:ext>
          </a:extLst>
        </xdr:cNvPr>
        <xdr:cNvSpPr/>
      </xdr:nvSpPr>
      <xdr:spPr>
        <a:xfrm>
          <a:off x="6610350" y="6215063"/>
          <a:ext cx="1000125" cy="504825"/>
        </a:xfrm>
        <a:prstGeom prst="flowChartAlternateProcess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r>
            <a:rPr lang="it-IT" sz="1400" b="1">
              <a:ln>
                <a:solidFill>
                  <a:schemeClr val="tx1"/>
                </a:solidFill>
              </a:ln>
              <a:solidFill>
                <a:schemeClr val="bg1"/>
              </a:solidFill>
            </a:rPr>
            <a:t>Conferma</a:t>
          </a:r>
        </a:p>
      </xdr:txBody>
    </xdr:sp>
    <xdr:clientData/>
  </xdr:twoCellAnchor>
  <xdr:twoCellAnchor>
    <xdr:from>
      <xdr:col>2</xdr:col>
      <xdr:colOff>28575</xdr:colOff>
      <xdr:row>9</xdr:row>
      <xdr:rowOff>90489</xdr:rowOff>
    </xdr:from>
    <xdr:to>
      <xdr:col>2</xdr:col>
      <xdr:colOff>1057275</xdr:colOff>
      <xdr:row>10</xdr:row>
      <xdr:rowOff>323852</xdr:rowOff>
    </xdr:to>
    <xdr:sp macro="[0]!cancella_sede" textlink="">
      <xdr:nvSpPr>
        <xdr:cNvPr id="13" name="Elaborazione alternativa 12">
          <a:extLst>
            <a:ext uri="{FF2B5EF4-FFF2-40B4-BE49-F238E27FC236}">
              <a16:creationId xmlns:a16="http://schemas.microsoft.com/office/drawing/2014/main" id="{9F9AF3BD-D5E1-4EBD-B371-CA7A72ED0433}"/>
            </a:ext>
          </a:extLst>
        </xdr:cNvPr>
        <xdr:cNvSpPr/>
      </xdr:nvSpPr>
      <xdr:spPr>
        <a:xfrm>
          <a:off x="1943100" y="3300414"/>
          <a:ext cx="1028700" cy="509588"/>
        </a:xfrm>
        <a:prstGeom prst="flowChartAlternateProcess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r>
            <a:rPr lang="it-IT" sz="1400" b="1">
              <a:ln>
                <a:solidFill>
                  <a:schemeClr val="tx1"/>
                </a:solidFill>
              </a:ln>
              <a:solidFill>
                <a:schemeClr val="bg1"/>
              </a:solidFill>
            </a:rPr>
            <a:t>Cancella</a:t>
          </a:r>
        </a:p>
      </xdr:txBody>
    </xdr:sp>
    <xdr:clientData/>
  </xdr:twoCellAnchor>
  <xdr:twoCellAnchor>
    <xdr:from>
      <xdr:col>5</xdr:col>
      <xdr:colOff>38100</xdr:colOff>
      <xdr:row>9</xdr:row>
      <xdr:rowOff>104775</xdr:rowOff>
    </xdr:from>
    <xdr:to>
      <xdr:col>5</xdr:col>
      <xdr:colOff>1066800</xdr:colOff>
      <xdr:row>10</xdr:row>
      <xdr:rowOff>338138</xdr:rowOff>
    </xdr:to>
    <xdr:sp macro="[0]!Modulo1.cancella_corso" textlink="">
      <xdr:nvSpPr>
        <xdr:cNvPr id="14" name="Elaborazione alternativa 13">
          <a:extLst>
            <a:ext uri="{FF2B5EF4-FFF2-40B4-BE49-F238E27FC236}">
              <a16:creationId xmlns:a16="http://schemas.microsoft.com/office/drawing/2014/main" id="{D9EC34D6-6081-440D-BADF-3E5E3B821F4E}"/>
            </a:ext>
          </a:extLst>
        </xdr:cNvPr>
        <xdr:cNvSpPr/>
      </xdr:nvSpPr>
      <xdr:spPr>
        <a:xfrm>
          <a:off x="7648575" y="3314700"/>
          <a:ext cx="1028700" cy="509588"/>
        </a:xfrm>
        <a:prstGeom prst="flowChartAlternateProcess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r>
            <a:rPr lang="it-IT" sz="1400" b="1">
              <a:ln>
                <a:solidFill>
                  <a:schemeClr val="tx1"/>
                </a:solidFill>
              </a:ln>
              <a:solidFill>
                <a:schemeClr val="bg1"/>
              </a:solidFill>
            </a:rPr>
            <a:t>Cancella</a:t>
          </a:r>
        </a:p>
      </xdr:txBody>
    </xdr:sp>
    <xdr:clientData/>
  </xdr:twoCellAnchor>
  <xdr:twoCellAnchor>
    <xdr:from>
      <xdr:col>5</xdr:col>
      <xdr:colOff>33338</xdr:colOff>
      <xdr:row>23</xdr:row>
      <xdr:rowOff>109538</xdr:rowOff>
    </xdr:from>
    <xdr:to>
      <xdr:col>5</xdr:col>
      <xdr:colOff>1062038</xdr:colOff>
      <xdr:row>24</xdr:row>
      <xdr:rowOff>338138</xdr:rowOff>
    </xdr:to>
    <xdr:sp macro="[0]!cancella_programmazione" textlink="">
      <xdr:nvSpPr>
        <xdr:cNvPr id="15" name="Elaborazione alternativa 14">
          <a:extLst>
            <a:ext uri="{FF2B5EF4-FFF2-40B4-BE49-F238E27FC236}">
              <a16:creationId xmlns:a16="http://schemas.microsoft.com/office/drawing/2014/main" id="{D88B7D12-A274-44A8-ACE5-08F997CD237E}"/>
            </a:ext>
          </a:extLst>
        </xdr:cNvPr>
        <xdr:cNvSpPr/>
      </xdr:nvSpPr>
      <xdr:spPr>
        <a:xfrm>
          <a:off x="7643813" y="6215063"/>
          <a:ext cx="1028700" cy="504825"/>
        </a:xfrm>
        <a:prstGeom prst="flowChartAlternateProcess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r>
            <a:rPr lang="it-IT" sz="1400" b="1">
              <a:ln>
                <a:solidFill>
                  <a:schemeClr val="tx1"/>
                </a:solidFill>
              </a:ln>
              <a:solidFill>
                <a:schemeClr val="bg1"/>
              </a:solidFill>
            </a:rPr>
            <a:t>Cancella</a:t>
          </a:r>
        </a:p>
      </xdr:txBody>
    </xdr:sp>
    <xdr:clientData/>
  </xdr:twoCellAnchor>
  <xdr:twoCellAnchor>
    <xdr:from>
      <xdr:col>2</xdr:col>
      <xdr:colOff>133350</xdr:colOff>
      <xdr:row>23</xdr:row>
      <xdr:rowOff>109538</xdr:rowOff>
    </xdr:from>
    <xdr:to>
      <xdr:col>2</xdr:col>
      <xdr:colOff>1162050</xdr:colOff>
      <xdr:row>24</xdr:row>
      <xdr:rowOff>338138</xdr:rowOff>
    </xdr:to>
    <xdr:sp macro="[0]!cancella_docente" textlink="">
      <xdr:nvSpPr>
        <xdr:cNvPr id="16" name="Elaborazione alternativa 15">
          <a:extLst>
            <a:ext uri="{FF2B5EF4-FFF2-40B4-BE49-F238E27FC236}">
              <a16:creationId xmlns:a16="http://schemas.microsoft.com/office/drawing/2014/main" id="{20DA0CF0-450A-4299-A41D-9E14D3AF964D}"/>
            </a:ext>
          </a:extLst>
        </xdr:cNvPr>
        <xdr:cNvSpPr/>
      </xdr:nvSpPr>
      <xdr:spPr>
        <a:xfrm>
          <a:off x="2047875" y="6215063"/>
          <a:ext cx="1028700" cy="504825"/>
        </a:xfrm>
        <a:prstGeom prst="flowChartAlternateProcess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r>
            <a:rPr lang="it-IT" sz="1400" b="1">
              <a:ln>
                <a:solidFill>
                  <a:schemeClr val="tx1"/>
                </a:solidFill>
              </a:ln>
              <a:solidFill>
                <a:schemeClr val="bg1"/>
              </a:solidFill>
            </a:rPr>
            <a:t>Cancella</a:t>
          </a:r>
        </a:p>
      </xdr:txBody>
    </xdr:sp>
    <xdr:clientData/>
  </xdr:twoCellAnchor>
  <xdr:twoCellAnchor>
    <xdr:from>
      <xdr:col>2</xdr:col>
      <xdr:colOff>678180</xdr:colOff>
      <xdr:row>0</xdr:row>
      <xdr:rowOff>236220</xdr:rowOff>
    </xdr:from>
    <xdr:to>
      <xdr:col>5</xdr:col>
      <xdr:colOff>2628900</xdr:colOff>
      <xdr:row>1</xdr:row>
      <xdr:rowOff>861060</xdr:rowOff>
    </xdr:to>
    <xdr:sp macro="" textlink="">
      <xdr:nvSpPr>
        <xdr:cNvPr id="4" name="Rettangolo con angoli arrotondati 3">
          <a:extLst>
            <a:ext uri="{FF2B5EF4-FFF2-40B4-BE49-F238E27FC236}">
              <a16:creationId xmlns:a16="http://schemas.microsoft.com/office/drawing/2014/main" id="{4AF72316-5ABC-5BE1-3176-29CB3C9AD06A}"/>
            </a:ext>
          </a:extLst>
        </xdr:cNvPr>
        <xdr:cNvSpPr/>
      </xdr:nvSpPr>
      <xdr:spPr>
        <a:xfrm>
          <a:off x="2651760" y="236220"/>
          <a:ext cx="7810500" cy="1440180"/>
        </a:xfrm>
        <a:prstGeom prst="roundRect">
          <a:avLst/>
        </a:prstGeom>
        <a:solidFill>
          <a:srgbClr val="FF0000"/>
        </a:solidFill>
        <a:ln w="19050">
          <a:solidFill>
            <a:schemeClr val="tx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tIns="46800" rtlCol="0" anchor="ctr" anchorCtr="1"/>
        <a:lstStyle/>
        <a:p>
          <a:pPr algn="ctr"/>
          <a:r>
            <a:rPr lang="it-IT" sz="4800" b="1" cap="none" spc="50">
              <a:ln w="0">
                <a:solidFill>
                  <a:sysClr val="windowText" lastClr="000000"/>
                </a:solidFill>
              </a:ln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  <a:reflection blurRad="6350" stA="50000" endA="300" endPos="50000" dist="29997" dir="5400000" sy="-100000" algn="bl" rotWithShape="0"/>
              </a:effectLst>
            </a:rPr>
            <a:t>I</a:t>
          </a:r>
          <a:r>
            <a:rPr lang="it-IT" sz="4800" b="1" cap="none" spc="50" baseline="0">
              <a:ln w="0">
                <a:solidFill>
                  <a:sysClr val="windowText" lastClr="000000"/>
                </a:solidFill>
              </a:ln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  <a:reflection blurRad="6350" stA="50000" endA="300" endPos="50000" dist="29997" dir="5400000" sy="-100000" algn="bl" rotWithShape="0"/>
              </a:effectLst>
            </a:rPr>
            <a:t>NSERIMENTO DATI</a:t>
          </a:r>
          <a:endParaRPr lang="it-IT" sz="4800" b="1" cap="none" spc="50">
            <a:ln w="0">
              <a:solidFill>
                <a:sysClr val="windowText" lastClr="000000"/>
              </a:solidFill>
            </a:ln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  <a:reflection blurRad="6350" stA="50000" endA="300" endPos="50000" dist="29997" dir="5400000" sy="-100000" algn="bl" rotWithShape="0"/>
            </a:effectLst>
          </a:endParaRPr>
        </a:p>
      </xdr:txBody>
    </xdr:sp>
    <xdr:clientData/>
  </xdr:twoCellAnchor>
  <xdr:twoCellAnchor>
    <xdr:from>
      <xdr:col>0</xdr:col>
      <xdr:colOff>371475</xdr:colOff>
      <xdr:row>0</xdr:row>
      <xdr:rowOff>638175</xdr:rowOff>
    </xdr:from>
    <xdr:to>
      <xdr:col>1</xdr:col>
      <xdr:colOff>406908</xdr:colOff>
      <xdr:row>1</xdr:row>
      <xdr:rowOff>308419</xdr:rowOff>
    </xdr:to>
    <xdr:sp macro="[0]!back_to_home" textlink="">
      <xdr:nvSpPr>
        <xdr:cNvPr id="2" name="Freccia a sinistra 1">
          <a:extLst>
            <a:ext uri="{FF2B5EF4-FFF2-40B4-BE49-F238E27FC236}">
              <a16:creationId xmlns:a16="http://schemas.microsoft.com/office/drawing/2014/main" id="{9C0951AA-06E3-41AE-47A1-0DEDD026097D}"/>
            </a:ext>
          </a:extLst>
        </xdr:cNvPr>
        <xdr:cNvSpPr/>
      </xdr:nvSpPr>
      <xdr:spPr>
        <a:xfrm>
          <a:off x="371475" y="638175"/>
          <a:ext cx="978408" cy="484632"/>
        </a:xfrm>
        <a:prstGeom prst="leftArrow">
          <a:avLst/>
        </a:prstGeom>
        <a:solidFill>
          <a:schemeClr val="accent1">
            <a:lumMod val="50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it-IT" sz="1100"/>
            <a:t>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1</xdr:row>
      <xdr:rowOff>66675</xdr:rowOff>
    </xdr:from>
    <xdr:to>
      <xdr:col>1</xdr:col>
      <xdr:colOff>568833</xdr:colOff>
      <xdr:row>4</xdr:row>
      <xdr:rowOff>8382</xdr:rowOff>
    </xdr:to>
    <xdr:sp macro="[0]!back_to_home" textlink="">
      <xdr:nvSpPr>
        <xdr:cNvPr id="2" name="Freccia a sinistra 1">
          <a:extLst>
            <a:ext uri="{FF2B5EF4-FFF2-40B4-BE49-F238E27FC236}">
              <a16:creationId xmlns:a16="http://schemas.microsoft.com/office/drawing/2014/main" id="{75FD4451-1D22-4454-8D07-47B5022F6B69}"/>
            </a:ext>
          </a:extLst>
        </xdr:cNvPr>
        <xdr:cNvSpPr/>
      </xdr:nvSpPr>
      <xdr:spPr>
        <a:xfrm>
          <a:off x="238125" y="247650"/>
          <a:ext cx="978408" cy="484632"/>
        </a:xfrm>
        <a:prstGeom prst="leftArrow">
          <a:avLst/>
        </a:prstGeom>
        <a:solidFill>
          <a:schemeClr val="accent1">
            <a:lumMod val="50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it-IT" sz="1100"/>
            <a:t>HOME</a:t>
          </a:r>
        </a:p>
      </xdr:txBody>
    </xdr:sp>
    <xdr:clientData/>
  </xdr:twoCellAnchor>
  <xdr:twoCellAnchor>
    <xdr:from>
      <xdr:col>3</xdr:col>
      <xdr:colOff>19051</xdr:colOff>
      <xdr:row>1</xdr:row>
      <xdr:rowOff>66675</xdr:rowOff>
    </xdr:from>
    <xdr:to>
      <xdr:col>9</xdr:col>
      <xdr:colOff>206251</xdr:colOff>
      <xdr:row>8</xdr:row>
      <xdr:rowOff>72390</xdr:rowOff>
    </xdr:to>
    <xdr:sp macro="" textlink="">
      <xdr:nvSpPr>
        <xdr:cNvPr id="3" name="Rettangolo con angoli arrotondati 2">
          <a:extLst>
            <a:ext uri="{FF2B5EF4-FFF2-40B4-BE49-F238E27FC236}">
              <a16:creationId xmlns:a16="http://schemas.microsoft.com/office/drawing/2014/main" id="{35792C59-3B5F-4DDC-8E8E-71CC667F439E}"/>
            </a:ext>
          </a:extLst>
        </xdr:cNvPr>
        <xdr:cNvSpPr/>
      </xdr:nvSpPr>
      <xdr:spPr>
        <a:xfrm>
          <a:off x="1962151" y="247650"/>
          <a:ext cx="11160000" cy="1272540"/>
        </a:xfrm>
        <a:prstGeom prst="roundRect">
          <a:avLst/>
        </a:prstGeom>
        <a:solidFill>
          <a:schemeClr val="accent2"/>
        </a:solidFill>
        <a:ln w="19050">
          <a:solidFill>
            <a:schemeClr val="tx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it-IT" sz="900" b="1" cap="none" spc="50">
            <a:ln w="0"/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</a:endParaRPr>
        </a:p>
        <a:p>
          <a:pPr algn="ctr"/>
          <a:r>
            <a:rPr lang="it-IT" sz="4800" b="1" cap="none" spc="50">
              <a:ln w="0">
                <a:solidFill>
                  <a:sysClr val="windowText" lastClr="000000"/>
                </a:solidFill>
              </a:ln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  <a:reflection blurRad="6350" stA="50000" endA="300" endPos="50000" dist="29997" dir="5400000" sy="-100000" algn="bl" rotWithShape="0"/>
              </a:effectLst>
            </a:rPr>
            <a:t>RICERCA DOCENTE</a:t>
          </a:r>
        </a:p>
      </xdr:txBody>
    </xdr:sp>
    <xdr:clientData/>
  </xdr:twoCellAnchor>
  <xdr:twoCellAnchor editAs="oneCell">
    <xdr:from>
      <xdr:col>5</xdr:col>
      <xdr:colOff>1695450</xdr:colOff>
      <xdr:row>15</xdr:row>
      <xdr:rowOff>200024</xdr:rowOff>
    </xdr:from>
    <xdr:to>
      <xdr:col>9</xdr:col>
      <xdr:colOff>15240</xdr:colOff>
      <xdr:row>27</xdr:row>
      <xdr:rowOff>83819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SCEGLI DOCENTE">
              <a:extLst>
                <a:ext uri="{FF2B5EF4-FFF2-40B4-BE49-F238E27FC236}">
                  <a16:creationId xmlns:a16="http://schemas.microsoft.com/office/drawing/2014/main" id="{AC8271A5-BF40-FBB6-A677-11FC71F1FB1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CEGLI DOC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562850" y="3495674"/>
              <a:ext cx="5124449" cy="2867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IT" sz="1100"/>
                <a:t>Questa forma rappresenta un filtro dei dati. I filtri dei dati sono supportati in Excel 2010 o versione successiva.
Se la forma è stata modificata in una versione precedente di Excel o se la cartella di lavoro è stata salvata in Excel 2003 o versioni precedenti, non è possibile usare il filtro dei dati.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233363</xdr:colOff>
      <xdr:row>1</xdr:row>
      <xdr:rowOff>61913</xdr:rowOff>
    </xdr:from>
    <xdr:to>
      <xdr:col>1</xdr:col>
      <xdr:colOff>564071</xdr:colOff>
      <xdr:row>4</xdr:row>
      <xdr:rowOff>3620</xdr:rowOff>
    </xdr:to>
    <xdr:sp macro="[0]!back_to_home" textlink="">
      <xdr:nvSpPr>
        <xdr:cNvPr id="2" name="Freccia a sinistra 1">
          <a:extLst>
            <a:ext uri="{FF2B5EF4-FFF2-40B4-BE49-F238E27FC236}">
              <a16:creationId xmlns:a16="http://schemas.microsoft.com/office/drawing/2014/main" id="{33716F5D-E3DB-40E2-BAA7-DE8A4A2D23EC}"/>
            </a:ext>
          </a:extLst>
        </xdr:cNvPr>
        <xdr:cNvSpPr/>
      </xdr:nvSpPr>
      <xdr:spPr>
        <a:xfrm>
          <a:off x="233363" y="242888"/>
          <a:ext cx="978408" cy="484632"/>
        </a:xfrm>
        <a:prstGeom prst="leftArrow">
          <a:avLst/>
        </a:prstGeom>
        <a:solidFill>
          <a:schemeClr val="accent1">
            <a:lumMod val="50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it-IT" sz="1100"/>
            <a:t>HOME</a:t>
          </a:r>
        </a:p>
      </xdr:txBody>
    </xdr:sp>
    <xdr:clientData/>
  </xdr:twoCellAnchor>
  <xdr:twoCellAnchor>
    <xdr:from>
      <xdr:col>2</xdr:col>
      <xdr:colOff>104776</xdr:colOff>
      <xdr:row>0</xdr:row>
      <xdr:rowOff>138114</xdr:rowOff>
    </xdr:from>
    <xdr:to>
      <xdr:col>12</xdr:col>
      <xdr:colOff>995362</xdr:colOff>
      <xdr:row>7</xdr:row>
      <xdr:rowOff>143829</xdr:rowOff>
    </xdr:to>
    <xdr:sp macro="" textlink="">
      <xdr:nvSpPr>
        <xdr:cNvPr id="3" name="Rettangolo con angoli arrotondati 2">
          <a:extLst>
            <a:ext uri="{FF2B5EF4-FFF2-40B4-BE49-F238E27FC236}">
              <a16:creationId xmlns:a16="http://schemas.microsoft.com/office/drawing/2014/main" id="{744E0AF0-1EA1-4611-A54E-1C1FD8E62E47}"/>
            </a:ext>
          </a:extLst>
        </xdr:cNvPr>
        <xdr:cNvSpPr/>
      </xdr:nvSpPr>
      <xdr:spPr>
        <a:xfrm>
          <a:off x="2185989" y="138114"/>
          <a:ext cx="12034836" cy="1272540"/>
        </a:xfrm>
        <a:prstGeom prst="roundRect">
          <a:avLst/>
        </a:prstGeom>
        <a:solidFill>
          <a:srgbClr val="FFFF00"/>
        </a:solidFill>
        <a:ln w="19050">
          <a:solidFill>
            <a:schemeClr val="tx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it-IT" sz="900" b="1" cap="none" spc="50">
            <a:ln w="0"/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</a:endParaRPr>
        </a:p>
        <a:p>
          <a:pPr algn="ctr"/>
          <a:r>
            <a:rPr lang="it-IT" sz="4800" b="1" cap="none" spc="50">
              <a:ln w="0">
                <a:solidFill>
                  <a:sysClr val="windowText" lastClr="000000"/>
                </a:solidFill>
              </a:ln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  <a:reflection blurRad="6350" stA="50000" endA="300" endPos="50000" dist="29997" dir="5400000" sy="-100000" algn="bl" rotWithShape="0"/>
              </a:effectLst>
            </a:rPr>
            <a:t>ANALISI</a:t>
          </a:r>
        </a:p>
      </xdr:txBody>
    </xdr:sp>
    <xdr:clientData/>
  </xdr:twoCellAnchor>
  <xdr:twoCellAnchor>
    <xdr:from>
      <xdr:col>3</xdr:col>
      <xdr:colOff>59531</xdr:colOff>
      <xdr:row>9</xdr:row>
      <xdr:rowOff>47624</xdr:rowOff>
    </xdr:from>
    <xdr:to>
      <xdr:col>7</xdr:col>
      <xdr:colOff>904875</xdr:colOff>
      <xdr:row>37</xdr:row>
      <xdr:rowOff>171449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F141B27D-D46D-2B69-D831-C86A952319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285750</xdr:colOff>
      <xdr:row>4</xdr:row>
      <xdr:rowOff>104776</xdr:rowOff>
    </xdr:from>
    <xdr:to>
      <xdr:col>1</xdr:col>
      <xdr:colOff>1414462</xdr:colOff>
      <xdr:row>7</xdr:row>
      <xdr:rowOff>138114</xdr:rowOff>
    </xdr:to>
    <xdr:grpSp>
      <xdr:nvGrpSpPr>
        <xdr:cNvPr id="14" name="Gruppo 13">
          <a:extLst>
            <a:ext uri="{FF2B5EF4-FFF2-40B4-BE49-F238E27FC236}">
              <a16:creationId xmlns:a16="http://schemas.microsoft.com/office/drawing/2014/main" id="{4B7B165A-C191-69D3-39B1-398B7E3279C0}"/>
            </a:ext>
          </a:extLst>
        </xdr:cNvPr>
        <xdr:cNvGrpSpPr/>
      </xdr:nvGrpSpPr>
      <xdr:grpSpPr>
        <a:xfrm>
          <a:off x="285750" y="866776"/>
          <a:ext cx="1728787" cy="604838"/>
          <a:chOff x="285750" y="828676"/>
          <a:chExt cx="1776412" cy="576263"/>
        </a:xfrm>
      </xdr:grpSpPr>
      <xdr:sp macro="[0]!aggiorna_dati2" textlink="">
        <xdr:nvSpPr>
          <xdr:cNvPr id="12" name="Rettangolo con angoli arrotondati 11">
            <a:extLst>
              <a:ext uri="{FF2B5EF4-FFF2-40B4-BE49-F238E27FC236}">
                <a16:creationId xmlns:a16="http://schemas.microsoft.com/office/drawing/2014/main" id="{5FCA884A-79C0-92AC-7561-64E70BF97AB7}"/>
              </a:ext>
            </a:extLst>
          </xdr:cNvPr>
          <xdr:cNvSpPr/>
        </xdr:nvSpPr>
        <xdr:spPr>
          <a:xfrm>
            <a:off x="285750" y="828676"/>
            <a:ext cx="1776412" cy="576263"/>
          </a:xfrm>
          <a:prstGeom prst="roundRect">
            <a:avLst/>
          </a:prstGeom>
          <a:solidFill>
            <a:srgbClr val="002060"/>
          </a:solidFill>
          <a:ln w="19050">
            <a:solidFill>
              <a:schemeClr val="tx1"/>
            </a:solidFill>
          </a:ln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it-IT" sz="1200" b="1" cap="none" spc="50">
                <a:ln w="0">
                  <a:solidFill>
                    <a:srgbClr val="FF0000"/>
                  </a:solidFill>
                </a:ln>
                <a:solidFill>
                  <a:schemeClr val="bg2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  <a:reflection blurRad="6350" stA="50000" endA="300" endPos="50000" dist="29997" dir="5400000" sy="-100000" algn="bl" rotWithShape="0"/>
                </a:effectLst>
                <a:latin typeface="+mn-lt"/>
                <a:ea typeface="+mn-ea"/>
                <a:cs typeface="+mn-cs"/>
              </a:rPr>
              <a:t>AGGIORNA</a:t>
            </a:r>
          </a:p>
          <a:p>
            <a:pPr marL="0" indent="0" algn="l"/>
            <a:r>
              <a:rPr lang="it-IT" sz="1200" b="1" cap="none" spc="50">
                <a:ln w="0">
                  <a:solidFill>
                    <a:srgbClr val="FF0000"/>
                  </a:solidFill>
                </a:ln>
                <a:solidFill>
                  <a:schemeClr val="bg2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  <a:reflection blurRad="6350" stA="50000" endA="300" endPos="50000" dist="29997" dir="5400000" sy="-100000" algn="bl" rotWithShape="0"/>
                </a:effectLst>
                <a:latin typeface="+mn-lt"/>
                <a:ea typeface="+mn-ea"/>
                <a:cs typeface="+mn-cs"/>
              </a:rPr>
              <a:t>DATI</a:t>
            </a:r>
          </a:p>
        </xdr:txBody>
      </xdr:sp>
      <xdr:grpSp>
        <xdr:nvGrpSpPr>
          <xdr:cNvPr id="9" name="Elemento grafico 7" descr="Ripeti contorno">
            <a:extLst>
              <a:ext uri="{FF2B5EF4-FFF2-40B4-BE49-F238E27FC236}">
                <a16:creationId xmlns:a16="http://schemas.microsoft.com/office/drawing/2014/main" id="{E5C62CEB-83F6-2E2F-E5E0-8B5111F1B31D}"/>
              </a:ext>
            </a:extLst>
          </xdr:cNvPr>
          <xdr:cNvGrpSpPr>
            <a:grpSpLocks noChangeAspect="1"/>
          </xdr:cNvGrpSpPr>
        </xdr:nvGrpSpPr>
        <xdr:grpSpPr>
          <a:xfrm>
            <a:off x="1428532" y="961414"/>
            <a:ext cx="387974" cy="281599"/>
            <a:chOff x="8967568" y="2675913"/>
            <a:chExt cx="867232" cy="629454"/>
          </a:xfrm>
          <a:solidFill>
            <a:schemeClr val="bg1"/>
          </a:solidFill>
        </xdr:grpSpPr>
        <xdr:sp macro="[0]!aggiorna_analisi" textlink="">
          <xdr:nvSpPr>
            <xdr:cNvPr id="10" name="Figura a mano libera: forma 9">
              <a:extLst>
                <a:ext uri="{FF2B5EF4-FFF2-40B4-BE49-F238E27FC236}">
                  <a16:creationId xmlns:a16="http://schemas.microsoft.com/office/drawing/2014/main" id="{C3BE23A2-E4BD-F8EA-F549-040FE9170136}"/>
                </a:ext>
              </a:extLst>
            </xdr:cNvPr>
            <xdr:cNvSpPr/>
          </xdr:nvSpPr>
          <xdr:spPr>
            <a:xfrm>
              <a:off x="8967568" y="2675913"/>
              <a:ext cx="718499" cy="404329"/>
            </a:xfrm>
            <a:custGeom>
              <a:avLst/>
              <a:gdLst>
                <a:gd name="connsiteX0" fmla="*/ 278416 w 718499"/>
                <a:gd name="connsiteY0" fmla="*/ 265121 h 404329"/>
                <a:gd name="connsiteX1" fmla="*/ 264947 w 718499"/>
                <a:gd name="connsiteY1" fmla="*/ 251643 h 404329"/>
                <a:gd name="connsiteX2" fmla="*/ 144189 w 718499"/>
                <a:gd name="connsiteY2" fmla="*/ 372411 h 404329"/>
                <a:gd name="connsiteX3" fmla="*/ 144055 w 718499"/>
                <a:gd name="connsiteY3" fmla="*/ 372411 h 404329"/>
                <a:gd name="connsiteX4" fmla="*/ 144028 w 718499"/>
                <a:gd name="connsiteY4" fmla="*/ 372354 h 404329"/>
                <a:gd name="connsiteX5" fmla="*/ 375998 w 718499"/>
                <a:gd name="connsiteY5" fmla="*/ 25130 h 404329"/>
                <a:gd name="connsiteX6" fmla="*/ 701240 w 718499"/>
                <a:gd name="connsiteY6" fmla="*/ 189950 h 404329"/>
                <a:gd name="connsiteX7" fmla="*/ 718499 w 718499"/>
                <a:gd name="connsiteY7" fmla="*/ 181882 h 404329"/>
                <a:gd name="connsiteX8" fmla="*/ 301066 w 718499"/>
                <a:gd name="connsiteY8" fmla="*/ 29351 h 404329"/>
                <a:gd name="connsiteX9" fmla="*/ 122692 w 718499"/>
                <a:gd name="connsiteY9" fmla="*/ 360657 h 404329"/>
                <a:gd name="connsiteX10" fmla="*/ 122641 w 718499"/>
                <a:gd name="connsiteY10" fmla="*/ 360767 h 404329"/>
                <a:gd name="connsiteX11" fmla="*/ 122539 w 718499"/>
                <a:gd name="connsiteY11" fmla="*/ 360733 h 404329"/>
                <a:gd name="connsiteX12" fmla="*/ 13468 w 718499"/>
                <a:gd name="connsiteY12" fmla="*/ 251643 h 404329"/>
                <a:gd name="connsiteX13" fmla="*/ 0 w 718499"/>
                <a:gd name="connsiteY13" fmla="*/ 265121 h 404329"/>
                <a:gd name="connsiteX14" fmla="*/ 139208 w 718499"/>
                <a:gd name="connsiteY14" fmla="*/ 404329 h 40432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</a:cxnLst>
              <a:rect l="l" t="t" r="r" b="b"/>
              <a:pathLst>
                <a:path w="718499" h="404329">
                  <a:moveTo>
                    <a:pt x="278416" y="265121"/>
                  </a:moveTo>
                  <a:lnTo>
                    <a:pt x="264947" y="251643"/>
                  </a:lnTo>
                  <a:lnTo>
                    <a:pt x="144189" y="372411"/>
                  </a:lnTo>
                  <a:cubicBezTo>
                    <a:pt x="144152" y="372448"/>
                    <a:pt x="144092" y="372448"/>
                    <a:pt x="144055" y="372411"/>
                  </a:cubicBezTo>
                  <a:cubicBezTo>
                    <a:pt x="144040" y="372396"/>
                    <a:pt x="144029" y="372376"/>
                    <a:pt x="144028" y="372354"/>
                  </a:cubicBezTo>
                  <a:cubicBezTo>
                    <a:pt x="112202" y="212414"/>
                    <a:pt x="216058" y="56956"/>
                    <a:pt x="375998" y="25130"/>
                  </a:cubicBezTo>
                  <a:cubicBezTo>
                    <a:pt x="509437" y="-1423"/>
                    <a:pt x="643746" y="66639"/>
                    <a:pt x="701240" y="189950"/>
                  </a:cubicBezTo>
                  <a:lnTo>
                    <a:pt x="718499" y="181882"/>
                  </a:lnTo>
                  <a:cubicBezTo>
                    <a:pt x="645348" y="24491"/>
                    <a:pt x="458457" y="-43799"/>
                    <a:pt x="301066" y="29351"/>
                  </a:cubicBezTo>
                  <a:cubicBezTo>
                    <a:pt x="174758" y="88055"/>
                    <a:pt x="102160" y="222896"/>
                    <a:pt x="122692" y="360657"/>
                  </a:cubicBezTo>
                  <a:cubicBezTo>
                    <a:pt x="122708" y="360702"/>
                    <a:pt x="122685" y="360750"/>
                    <a:pt x="122641" y="360767"/>
                  </a:cubicBezTo>
                  <a:cubicBezTo>
                    <a:pt x="122603" y="360781"/>
                    <a:pt x="122561" y="360766"/>
                    <a:pt x="122539" y="360733"/>
                  </a:cubicBezTo>
                  <a:lnTo>
                    <a:pt x="13468" y="251643"/>
                  </a:lnTo>
                  <a:lnTo>
                    <a:pt x="0" y="265121"/>
                  </a:lnTo>
                  <a:lnTo>
                    <a:pt x="139208" y="404329"/>
                  </a:lnTo>
                  <a:close/>
                </a:path>
              </a:pathLst>
            </a:custGeom>
            <a:grpFill/>
            <a:ln w="38100" cap="flat">
              <a:solidFill>
                <a:schemeClr val="bg1"/>
              </a:solidFill>
              <a:prstDash val="solid"/>
              <a:miter/>
            </a:ln>
            <a:scene3d>
              <a:camera prst="orthographicFront"/>
              <a:lightRig rig="threePt" dir="t"/>
            </a:scene3d>
            <a:sp3d extrusionH="76200" contourW="12700">
              <a:bevelT w="38100" h="38100"/>
              <a:extrusionClr>
                <a:srgbClr val="FF0000"/>
              </a:extrusionClr>
              <a:contourClr>
                <a:srgbClr val="FF0000"/>
              </a:contourClr>
            </a:sp3d>
          </xdr:spPr>
          <xdr:txBody>
            <a:bodyPr rtlCol="0" anchor="ctr"/>
            <a:lstStyle/>
            <a:p>
              <a:endParaRPr lang="it-IT"/>
            </a:p>
          </xdr:txBody>
        </xdr:sp>
        <xdr:sp macro="[0]!aggiorna_analisi" textlink="">
          <xdr:nvSpPr>
            <xdr:cNvPr id="11" name="Figura a mano libera: forma 10">
              <a:extLst>
                <a:ext uri="{FF2B5EF4-FFF2-40B4-BE49-F238E27FC236}">
                  <a16:creationId xmlns:a16="http://schemas.microsoft.com/office/drawing/2014/main" id="{28309CE5-DF3E-B591-5B5B-0DB7898FCEFD}"/>
                </a:ext>
              </a:extLst>
            </xdr:cNvPr>
            <xdr:cNvSpPr/>
          </xdr:nvSpPr>
          <xdr:spPr>
            <a:xfrm>
              <a:off x="9123454" y="2920822"/>
              <a:ext cx="711346" cy="384545"/>
            </a:xfrm>
            <a:custGeom>
              <a:avLst/>
              <a:gdLst>
                <a:gd name="connsiteX0" fmla="*/ 432911 w 711346"/>
                <a:gd name="connsiteY0" fmla="*/ 139217 h 384545"/>
                <a:gd name="connsiteX1" fmla="*/ 446380 w 711346"/>
                <a:gd name="connsiteY1" fmla="*/ 152686 h 384545"/>
                <a:gd name="connsiteX2" fmla="*/ 569824 w 711346"/>
                <a:gd name="connsiteY2" fmla="*/ 29242 h 384545"/>
                <a:gd name="connsiteX3" fmla="*/ 569958 w 711346"/>
                <a:gd name="connsiteY3" fmla="*/ 29242 h 384545"/>
                <a:gd name="connsiteX4" fmla="*/ 569986 w 711346"/>
                <a:gd name="connsiteY4" fmla="*/ 29299 h 384545"/>
                <a:gd name="connsiteX5" fmla="*/ 320950 w 711346"/>
                <a:gd name="connsiteY5" fmla="*/ 362293 h 384545"/>
                <a:gd name="connsiteX6" fmla="*/ 277720 w 711346"/>
                <a:gd name="connsiteY6" fmla="*/ 365303 h 384545"/>
                <a:gd name="connsiteX7" fmla="*/ 16821 w 711346"/>
                <a:gd name="connsiteY7" fmla="*/ 208436 h 384545"/>
                <a:gd name="connsiteX8" fmla="*/ 0 w 711346"/>
                <a:gd name="connsiteY8" fmla="*/ 217370 h 384545"/>
                <a:gd name="connsiteX9" fmla="*/ 424933 w 711346"/>
                <a:gd name="connsiteY9" fmla="*/ 347878 h 384545"/>
                <a:gd name="connsiteX10" fmla="*/ 592045 w 711346"/>
                <a:gd name="connsiteY10" fmla="*/ 70028 h 384545"/>
                <a:gd name="connsiteX11" fmla="*/ 591093 w 711346"/>
                <a:gd name="connsiteY11" fmla="*/ 46120 h 384545"/>
                <a:gd name="connsiteX12" fmla="*/ 591188 w 711346"/>
                <a:gd name="connsiteY12" fmla="*/ 46025 h 384545"/>
                <a:gd name="connsiteX13" fmla="*/ 591245 w 711346"/>
                <a:gd name="connsiteY13" fmla="*/ 46044 h 384545"/>
                <a:gd name="connsiteX14" fmla="*/ 697878 w 711346"/>
                <a:gd name="connsiteY14" fmla="*/ 152724 h 384545"/>
                <a:gd name="connsiteX15" fmla="*/ 711346 w 711346"/>
                <a:gd name="connsiteY15" fmla="*/ 139256 h 384545"/>
                <a:gd name="connsiteX16" fmla="*/ 572119 w 711346"/>
                <a:gd name="connsiteY16" fmla="*/ 0 h 38454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</a:cxnLst>
              <a:rect l="l" t="t" r="r" b="b"/>
              <a:pathLst>
                <a:path w="711346" h="384545">
                  <a:moveTo>
                    <a:pt x="432911" y="139217"/>
                  </a:moveTo>
                  <a:lnTo>
                    <a:pt x="446380" y="152686"/>
                  </a:lnTo>
                  <a:lnTo>
                    <a:pt x="569824" y="29242"/>
                  </a:lnTo>
                  <a:cubicBezTo>
                    <a:pt x="569861" y="29205"/>
                    <a:pt x="569921" y="29205"/>
                    <a:pt x="569958" y="29242"/>
                  </a:cubicBezTo>
                  <a:cubicBezTo>
                    <a:pt x="569973" y="29257"/>
                    <a:pt x="569984" y="29277"/>
                    <a:pt x="569986" y="29299"/>
                  </a:cubicBezTo>
                  <a:cubicBezTo>
                    <a:pt x="593170" y="190022"/>
                    <a:pt x="481673" y="339109"/>
                    <a:pt x="320950" y="362293"/>
                  </a:cubicBezTo>
                  <a:cubicBezTo>
                    <a:pt x="306634" y="364358"/>
                    <a:pt x="292185" y="365365"/>
                    <a:pt x="277720" y="365303"/>
                  </a:cubicBezTo>
                  <a:cubicBezTo>
                    <a:pt x="168404" y="365404"/>
                    <a:pt x="67997" y="305034"/>
                    <a:pt x="16821" y="208436"/>
                  </a:cubicBezTo>
                  <a:lnTo>
                    <a:pt x="0" y="217370"/>
                  </a:lnTo>
                  <a:cubicBezTo>
                    <a:pt x="81303" y="370751"/>
                    <a:pt x="271552" y="429181"/>
                    <a:pt x="424933" y="347878"/>
                  </a:cubicBezTo>
                  <a:cubicBezTo>
                    <a:pt x="527793" y="293355"/>
                    <a:pt x="592093" y="186445"/>
                    <a:pt x="592045" y="70028"/>
                  </a:cubicBezTo>
                  <a:cubicBezTo>
                    <a:pt x="592045" y="62055"/>
                    <a:pt x="591674" y="54073"/>
                    <a:pt x="591093" y="46120"/>
                  </a:cubicBezTo>
                  <a:cubicBezTo>
                    <a:pt x="591093" y="46068"/>
                    <a:pt x="591136" y="46025"/>
                    <a:pt x="591188" y="46025"/>
                  </a:cubicBezTo>
                  <a:cubicBezTo>
                    <a:pt x="591209" y="46025"/>
                    <a:pt x="591229" y="46031"/>
                    <a:pt x="591245" y="46044"/>
                  </a:cubicBezTo>
                  <a:lnTo>
                    <a:pt x="697878" y="152724"/>
                  </a:lnTo>
                  <a:lnTo>
                    <a:pt x="711346" y="139256"/>
                  </a:lnTo>
                  <a:lnTo>
                    <a:pt x="572119" y="0"/>
                  </a:lnTo>
                  <a:close/>
                </a:path>
              </a:pathLst>
            </a:custGeom>
            <a:grpFill/>
            <a:ln w="38100" cap="flat">
              <a:solidFill>
                <a:schemeClr val="bg1"/>
              </a:solidFill>
              <a:prstDash val="solid"/>
              <a:miter/>
            </a:ln>
            <a:scene3d>
              <a:camera prst="orthographicFront"/>
              <a:lightRig rig="threePt" dir="t"/>
            </a:scene3d>
            <a:sp3d extrusionH="76200" contourW="12700">
              <a:bevelT w="38100" h="38100"/>
              <a:extrusionClr>
                <a:srgbClr val="FF0000"/>
              </a:extrusionClr>
              <a:contourClr>
                <a:srgbClr val="FF0000"/>
              </a:contourClr>
            </a:sp3d>
          </xdr:spPr>
          <xdr:txBody>
            <a:bodyPr rtlCol="0" anchor="ctr"/>
            <a:lstStyle/>
            <a:p>
              <a:endParaRPr lang="it-IT"/>
            </a:p>
          </xdr:txBody>
        </xdr:sp>
      </xdr:grp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428624</xdr:colOff>
      <xdr:row>6</xdr:row>
      <xdr:rowOff>107156</xdr:rowOff>
    </xdr:from>
    <xdr:to>
      <xdr:col>47</xdr:col>
      <xdr:colOff>502920</xdr:colOff>
      <xdr:row>45</xdr:row>
      <xdr:rowOff>133350</xdr:rowOff>
    </xdr:to>
    <xdr:sp macro="" textlink="">
      <xdr:nvSpPr>
        <xdr:cNvPr id="16" name="Rettangolo con angoli arrotondati 15">
          <a:extLst>
            <a:ext uri="{FF2B5EF4-FFF2-40B4-BE49-F238E27FC236}">
              <a16:creationId xmlns:a16="http://schemas.microsoft.com/office/drawing/2014/main" id="{C505889A-52AB-3CCE-96F4-80101C19E14A}"/>
            </a:ext>
          </a:extLst>
        </xdr:cNvPr>
        <xdr:cNvSpPr/>
      </xdr:nvSpPr>
      <xdr:spPr>
        <a:xfrm>
          <a:off x="1647824" y="2107406"/>
          <a:ext cx="27506296" cy="7455694"/>
        </a:xfrm>
        <a:prstGeom prst="roundRect">
          <a:avLst/>
        </a:prstGeom>
        <a:solidFill>
          <a:schemeClr val="accent5">
            <a:lumMod val="75000"/>
          </a:schemeClr>
        </a:solidFill>
        <a:ln w="28575">
          <a:solidFill>
            <a:schemeClr val="tx1"/>
          </a:solidFill>
        </a:ln>
        <a:effectLst>
          <a:glow rad="177800">
            <a:schemeClr val="tx1">
              <a:alpha val="75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3</xdr:col>
      <xdr:colOff>57149</xdr:colOff>
      <xdr:row>0</xdr:row>
      <xdr:rowOff>314325</xdr:rowOff>
    </xdr:from>
    <xdr:to>
      <xdr:col>47</xdr:col>
      <xdr:colOff>251460</xdr:colOff>
      <xdr:row>4</xdr:row>
      <xdr:rowOff>12225</xdr:rowOff>
    </xdr:to>
    <xdr:sp macro="" textlink="">
      <xdr:nvSpPr>
        <xdr:cNvPr id="6" name="Rettangolo con angoli arrotondati 5">
          <a:extLst>
            <a:ext uri="{FF2B5EF4-FFF2-40B4-BE49-F238E27FC236}">
              <a16:creationId xmlns:a16="http://schemas.microsoft.com/office/drawing/2014/main" id="{347EE1A5-3694-4DF5-845B-C725DCA0DCEE}"/>
            </a:ext>
          </a:extLst>
        </xdr:cNvPr>
        <xdr:cNvSpPr/>
      </xdr:nvSpPr>
      <xdr:spPr>
        <a:xfrm>
          <a:off x="1885949" y="314325"/>
          <a:ext cx="27016711" cy="1317150"/>
        </a:xfrm>
        <a:prstGeom prst="roundRect">
          <a:avLst/>
        </a:prstGeom>
        <a:solidFill>
          <a:schemeClr val="accent5">
            <a:lumMod val="75000"/>
          </a:schemeClr>
        </a:solidFill>
        <a:ln w="19050">
          <a:solidFill>
            <a:schemeClr val="tx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tIns="46800" rtlCol="0" anchor="ctr" anchorCtr="1"/>
        <a:lstStyle/>
        <a:p>
          <a:pPr algn="ctr"/>
          <a:r>
            <a:rPr lang="it-IT" sz="4800" b="1" cap="none" spc="50">
              <a:ln w="0">
                <a:solidFill>
                  <a:sysClr val="windowText" lastClr="000000"/>
                </a:solidFill>
              </a:ln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  <a:reflection blurRad="6350" stA="50000" endA="300" endPos="50000" dist="29997" dir="5400000" sy="-100000" algn="bl" rotWithShape="0"/>
              </a:effectLst>
            </a:rPr>
            <a:t>GRAFICI</a:t>
          </a:r>
        </a:p>
      </xdr:txBody>
    </xdr:sp>
    <xdr:clientData/>
  </xdr:twoCellAnchor>
  <xdr:twoCellAnchor>
    <xdr:from>
      <xdr:col>0</xdr:col>
      <xdr:colOff>142875</xdr:colOff>
      <xdr:row>0</xdr:row>
      <xdr:rowOff>323850</xdr:rowOff>
    </xdr:from>
    <xdr:to>
      <xdr:col>1</xdr:col>
      <xdr:colOff>445008</xdr:colOff>
      <xdr:row>0</xdr:row>
      <xdr:rowOff>803719</xdr:rowOff>
    </xdr:to>
    <xdr:sp macro="[0]!back_to_home" textlink="">
      <xdr:nvSpPr>
        <xdr:cNvPr id="8" name="Freccia a sinistra 7">
          <a:extLst>
            <a:ext uri="{FF2B5EF4-FFF2-40B4-BE49-F238E27FC236}">
              <a16:creationId xmlns:a16="http://schemas.microsoft.com/office/drawing/2014/main" id="{E65EE742-B48D-4A99-94FB-51E6E8836056}"/>
            </a:ext>
          </a:extLst>
        </xdr:cNvPr>
        <xdr:cNvSpPr/>
      </xdr:nvSpPr>
      <xdr:spPr>
        <a:xfrm>
          <a:off x="142875" y="323850"/>
          <a:ext cx="911733" cy="479869"/>
        </a:xfrm>
        <a:prstGeom prst="leftArrow">
          <a:avLst/>
        </a:prstGeom>
        <a:solidFill>
          <a:schemeClr val="accent1">
            <a:lumMod val="50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it-IT" sz="1100"/>
            <a:t>HOME</a:t>
          </a:r>
        </a:p>
      </xdr:txBody>
    </xdr:sp>
    <xdr:clientData/>
  </xdr:twoCellAnchor>
  <xdr:twoCellAnchor>
    <xdr:from>
      <xdr:col>2</xdr:col>
      <xdr:colOff>390524</xdr:colOff>
      <xdr:row>48</xdr:row>
      <xdr:rowOff>133350</xdr:rowOff>
    </xdr:from>
    <xdr:to>
      <xdr:col>47</xdr:col>
      <xdr:colOff>546100</xdr:colOff>
      <xdr:row>104</xdr:row>
      <xdr:rowOff>158750</xdr:rowOff>
    </xdr:to>
    <xdr:sp macro="" textlink="">
      <xdr:nvSpPr>
        <xdr:cNvPr id="17" name="Rettangolo con angoli arrotondati 16">
          <a:extLst>
            <a:ext uri="{FF2B5EF4-FFF2-40B4-BE49-F238E27FC236}">
              <a16:creationId xmlns:a16="http://schemas.microsoft.com/office/drawing/2014/main" id="{AE695B43-8F6C-795A-6528-280DC8CB5290}"/>
            </a:ext>
          </a:extLst>
        </xdr:cNvPr>
        <xdr:cNvSpPr/>
      </xdr:nvSpPr>
      <xdr:spPr>
        <a:xfrm>
          <a:off x="1609724" y="10134600"/>
          <a:ext cx="27587576" cy="10693400"/>
        </a:xfrm>
        <a:prstGeom prst="roundRect">
          <a:avLst/>
        </a:prstGeom>
        <a:solidFill>
          <a:schemeClr val="accent5">
            <a:lumMod val="75000"/>
          </a:schemeClr>
        </a:solidFill>
        <a:ln w="28575">
          <a:solidFill>
            <a:schemeClr val="tx1"/>
          </a:solidFill>
        </a:ln>
        <a:effectLst>
          <a:glow rad="177800">
            <a:schemeClr val="tx1">
              <a:alpha val="75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4</xdr:col>
      <xdr:colOff>514351</xdr:colOff>
      <xdr:row>51</xdr:row>
      <xdr:rowOff>152400</xdr:rowOff>
    </xdr:from>
    <xdr:to>
      <xdr:col>15</xdr:col>
      <xdr:colOff>381001</xdr:colOff>
      <xdr:row>94</xdr:row>
      <xdr:rowOff>57150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8D95758E-7488-4D1F-A3F6-E52BDE0860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581023</xdr:colOff>
      <xdr:row>51</xdr:row>
      <xdr:rowOff>146048</xdr:rowOff>
    </xdr:from>
    <xdr:to>
      <xdr:col>28</xdr:col>
      <xdr:colOff>444500</xdr:colOff>
      <xdr:row>94</xdr:row>
      <xdr:rowOff>6350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BA055ADE-A957-40D2-8D7C-88F51799DB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6349</xdr:colOff>
      <xdr:row>51</xdr:row>
      <xdr:rowOff>152400</xdr:rowOff>
    </xdr:from>
    <xdr:to>
      <xdr:col>39</xdr:col>
      <xdr:colOff>549274</xdr:colOff>
      <xdr:row>93</xdr:row>
      <xdr:rowOff>107950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116EEB6E-1654-402E-82D6-3F7B028331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40</xdr:col>
      <xdr:colOff>88900</xdr:colOff>
      <xdr:row>55</xdr:row>
      <xdr:rowOff>133351</xdr:rowOff>
    </xdr:from>
    <xdr:to>
      <xdr:col>46</xdr:col>
      <xdr:colOff>342900</xdr:colOff>
      <xdr:row>62</xdr:row>
      <xdr:rowOff>19051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9" name="MATERIA">
              <a:extLst>
                <a:ext uri="{FF2B5EF4-FFF2-40B4-BE49-F238E27FC236}">
                  <a16:creationId xmlns:a16="http://schemas.microsoft.com/office/drawing/2014/main" id="{74BF392A-FBF2-EC76-DFF1-E36E932EB0D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TERI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472900" y="11487151"/>
              <a:ext cx="3911600" cy="1219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IT" sz="1100"/>
                <a:t>Questa forma rappresenta un filtro dei dati. I filtri dei dati sono supportati in Excel 2010 o versione successiva.
Se la forma è stata modificata in una versione precedente di Excel o se la cartella di lavoro è stata salvata in Excel 2003 o versioni precedenti, non è possibile usare il filtro dei dati.</a:t>
              </a:r>
            </a:p>
          </xdr:txBody>
        </xdr:sp>
      </mc:Fallback>
    </mc:AlternateContent>
    <xdr:clientData/>
  </xdr:twoCellAnchor>
  <xdr:twoCellAnchor editAs="oneCell">
    <xdr:from>
      <xdr:col>40</xdr:col>
      <xdr:colOff>38100</xdr:colOff>
      <xdr:row>64</xdr:row>
      <xdr:rowOff>80011</xdr:rowOff>
    </xdr:from>
    <xdr:to>
      <xdr:col>46</xdr:col>
      <xdr:colOff>393700</xdr:colOff>
      <xdr:row>71</xdr:row>
      <xdr:rowOff>19051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PREZZO">
              <a:extLst>
                <a:ext uri="{FF2B5EF4-FFF2-40B4-BE49-F238E27FC236}">
                  <a16:creationId xmlns:a16="http://schemas.microsoft.com/office/drawing/2014/main" id="{D0BF2A9B-7339-B949-1858-4CC09F148D3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ZZ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422100" y="13148311"/>
              <a:ext cx="4013200" cy="12725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IT" sz="1100"/>
                <a:t>Questa forma rappresenta un filtro dei dati. I filtri dei dati sono supportati in Excel 2010 o versione successiva.
Se la forma è stata modificata in una versione precedente di Excel o se la cartella di lavoro è stata salvata in Excel 2003 o versioni precedenti, non è possibile usare il filtro dei dati.</a:t>
              </a:r>
            </a:p>
          </xdr:txBody>
        </xdr:sp>
      </mc:Fallback>
    </mc:AlternateContent>
    <xdr:clientData/>
  </xdr:twoCellAnchor>
  <xdr:twoCellAnchor editAs="oneCell">
    <xdr:from>
      <xdr:col>40</xdr:col>
      <xdr:colOff>60960</xdr:colOff>
      <xdr:row>72</xdr:row>
      <xdr:rowOff>166367</xdr:rowOff>
    </xdr:from>
    <xdr:to>
      <xdr:col>46</xdr:col>
      <xdr:colOff>419100</xdr:colOff>
      <xdr:row>85</xdr:row>
      <xdr:rowOff>24489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1" name="COSTO TOTALE">
              <a:extLst>
                <a:ext uri="{FF2B5EF4-FFF2-40B4-BE49-F238E27FC236}">
                  <a16:creationId xmlns:a16="http://schemas.microsoft.com/office/drawing/2014/main" id="{F08754EC-5FF5-8DD4-DB64-BDD1505CC7C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STO TOTAL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444960" y="14758667"/>
              <a:ext cx="4015740" cy="233462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IT" sz="1100"/>
                <a:t>Questa forma rappresenta un filtro dei dati. I filtri dei dati sono supportati in Excel 2010 o versione successiva.
Se la forma è stata modificata in una versione precedente di Excel o se la cartella di lavoro è stata salvata in Excel 2003 o versioni precedenti, non è possibile usare il filtro dei dati.</a:t>
              </a:r>
            </a:p>
          </xdr:txBody>
        </xdr:sp>
      </mc:Fallback>
    </mc:AlternateContent>
    <xdr:clientData/>
  </xdr:twoCellAnchor>
  <xdr:twoCellAnchor editAs="oneCell">
    <xdr:from>
      <xdr:col>40</xdr:col>
      <xdr:colOff>56244</xdr:colOff>
      <xdr:row>87</xdr:row>
      <xdr:rowOff>74203</xdr:rowOff>
    </xdr:from>
    <xdr:to>
      <xdr:col>46</xdr:col>
      <xdr:colOff>449944</xdr:colOff>
      <xdr:row>93</xdr:row>
      <xdr:rowOff>117020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3" name="ORE">
              <a:extLst>
                <a:ext uri="{FF2B5EF4-FFF2-40B4-BE49-F238E27FC236}">
                  <a16:creationId xmlns:a16="http://schemas.microsoft.com/office/drawing/2014/main" id="{6161C79E-77DB-98E6-B739-95D8BD122E5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R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440244" y="17524003"/>
              <a:ext cx="4051300" cy="118581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IT" sz="1100"/>
                <a:t>Questa forma rappresenta un filtro dei dati. I filtri dei dati sono supportati in Excel 2010 o versione successiva.
Se la forma è stata modificata in una versione precedente di Excel o se la cartella di lavoro è stata salvata in Excel 2003 o versioni precedenti, non è possibile usare il filtro dei dati.</a:t>
              </a:r>
            </a:p>
          </xdr:txBody>
        </xdr:sp>
      </mc:Fallback>
    </mc:AlternateContent>
    <xdr:clientData/>
  </xdr:twoCellAnchor>
  <xdr:twoCellAnchor>
    <xdr:from>
      <xdr:col>6</xdr:col>
      <xdr:colOff>250824</xdr:colOff>
      <xdr:row>9</xdr:row>
      <xdr:rowOff>69850</xdr:rowOff>
    </xdr:from>
    <xdr:to>
      <xdr:col>30</xdr:col>
      <xdr:colOff>552450</xdr:colOff>
      <xdr:row>40</xdr:row>
      <xdr:rowOff>95250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A77AE72C-75B8-4841-BF33-8B35536AFD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32</xdr:col>
      <xdr:colOff>19050</xdr:colOff>
      <xdr:row>9</xdr:row>
      <xdr:rowOff>8890</xdr:rowOff>
    </xdr:from>
    <xdr:to>
      <xdr:col>43</xdr:col>
      <xdr:colOff>330200</xdr:colOff>
      <xdr:row>40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6" name="ID DOCENTE">
              <a:extLst>
                <a:ext uri="{FF2B5EF4-FFF2-40B4-BE49-F238E27FC236}">
                  <a16:creationId xmlns:a16="http://schemas.microsoft.com/office/drawing/2014/main" id="{D41CD3C4-ACA5-3BEE-A2AF-9F3FBEBF874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D DOC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526250" y="2599690"/>
              <a:ext cx="7016750" cy="604901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IT" sz="1100"/>
                <a:t>Questa forma rappresenta un filtro dei dati. I filtri dei dati sono supportati in Excel 2010 o versione successiva.
Se la forma è stata modificata in una versione precedente di Excel o se la cartella di lavoro è stata salvata in Excel 2003 o versioni precedenti, non è possibile usare il filtro dei dati.</a:t>
              </a:r>
            </a:p>
          </xdr:txBody>
        </xdr:sp>
      </mc:Fallback>
    </mc:AlternateContent>
    <xdr:clientData/>
  </xdr:twoCellAnchor>
  <xdr:twoCellAnchor>
    <xdr:from>
      <xdr:col>3</xdr:col>
      <xdr:colOff>0</xdr:colOff>
      <xdr:row>110</xdr:row>
      <xdr:rowOff>0</xdr:rowOff>
    </xdr:from>
    <xdr:to>
      <xdr:col>48</xdr:col>
      <xdr:colOff>155576</xdr:colOff>
      <xdr:row>176</xdr:row>
      <xdr:rowOff>102973</xdr:rowOff>
    </xdr:to>
    <xdr:sp macro="" textlink="">
      <xdr:nvSpPr>
        <xdr:cNvPr id="3" name="Rettangolo con angoli arrotondati 2">
          <a:extLst>
            <a:ext uri="{FF2B5EF4-FFF2-40B4-BE49-F238E27FC236}">
              <a16:creationId xmlns:a16="http://schemas.microsoft.com/office/drawing/2014/main" id="{518611AF-412D-4577-8192-68E082D5E7A6}"/>
            </a:ext>
          </a:extLst>
        </xdr:cNvPr>
        <xdr:cNvSpPr/>
      </xdr:nvSpPr>
      <xdr:spPr>
        <a:xfrm>
          <a:off x="1853514" y="21253622"/>
          <a:ext cx="27958278" cy="12336162"/>
        </a:xfrm>
        <a:prstGeom prst="roundRect">
          <a:avLst/>
        </a:prstGeom>
        <a:solidFill>
          <a:schemeClr val="accent5">
            <a:lumMod val="75000"/>
          </a:schemeClr>
        </a:solidFill>
        <a:ln w="28575">
          <a:solidFill>
            <a:schemeClr val="tx1"/>
          </a:solidFill>
        </a:ln>
        <a:effectLst>
          <a:glow rad="177800">
            <a:schemeClr val="tx1">
              <a:alpha val="75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5</xdr:col>
      <xdr:colOff>203198</xdr:colOff>
      <xdr:row>113</xdr:row>
      <xdr:rowOff>4704</xdr:rowOff>
    </xdr:from>
    <xdr:to>
      <xdr:col>17</xdr:col>
      <xdr:colOff>411891</xdr:colOff>
      <xdr:row>158</xdr:row>
      <xdr:rowOff>80905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E7A2704D-493C-4252-8896-FFB80F6FB2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102974</xdr:colOff>
      <xdr:row>112</xdr:row>
      <xdr:rowOff>149502</xdr:rowOff>
    </xdr:from>
    <xdr:to>
      <xdr:col>34</xdr:col>
      <xdr:colOff>473677</xdr:colOff>
      <xdr:row>158</xdr:row>
      <xdr:rowOff>71193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B83051C9-BF0B-460D-B26F-A176FEC226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35</xdr:col>
      <xdr:colOff>81864</xdr:colOff>
      <xdr:row>112</xdr:row>
      <xdr:rowOff>140779</xdr:rowOff>
    </xdr:from>
    <xdr:to>
      <xdr:col>46</xdr:col>
      <xdr:colOff>209550</xdr:colOff>
      <xdr:row>158</xdr:row>
      <xdr:rowOff>38100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8F21059-2CC0-4EB2-A757-F8CE704630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8</xdr:col>
      <xdr:colOff>25400</xdr:colOff>
      <xdr:row>159</xdr:row>
      <xdr:rowOff>88900</xdr:rowOff>
    </xdr:from>
    <xdr:to>
      <xdr:col>26</xdr:col>
      <xdr:colOff>419100</xdr:colOff>
      <xdr:row>173</xdr:row>
      <xdr:rowOff>101600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ID DOCENTE 1">
              <a:extLst>
                <a:ext uri="{FF2B5EF4-FFF2-40B4-BE49-F238E27FC236}">
                  <a16:creationId xmlns:a16="http://schemas.microsoft.com/office/drawing/2014/main" id="{84908CE1-5BC4-5BBD-20A1-7E1D29550A9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D DOCEN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902200" y="29235400"/>
              <a:ext cx="11366500" cy="2501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IT" sz="1100"/>
                <a:t>Questa forma rappresenta un filtro dei dati. I filtri dei dati sono supportati in Excel 2010 o versione successiva.
Se la forma è stata modificata in una versione precedente di Excel o se la cartella di lavoro è stata salvata in Excel 2003 o versioni precedenti, non è possibile usare il filtro dei dati.</a:t>
              </a:r>
            </a:p>
          </xdr:txBody>
        </xdr:sp>
      </mc:Fallback>
    </mc:AlternateContent>
    <xdr:clientData/>
  </xdr:twoCellAnchor>
  <xdr:twoCellAnchor editAs="oneCell">
    <xdr:from>
      <xdr:col>27</xdr:col>
      <xdr:colOff>236220</xdr:colOff>
      <xdr:row>159</xdr:row>
      <xdr:rowOff>68580</xdr:rowOff>
    </xdr:from>
    <xdr:to>
      <xdr:col>30</xdr:col>
      <xdr:colOff>236220</xdr:colOff>
      <xdr:row>173</xdr:row>
      <xdr:rowOff>46355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ORE 1">
              <a:extLst>
                <a:ext uri="{FF2B5EF4-FFF2-40B4-BE49-F238E27FC236}">
                  <a16:creationId xmlns:a16="http://schemas.microsoft.com/office/drawing/2014/main" id="{D94687B4-832E-9AFD-5605-539DA6D5EA2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R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695420" y="2921508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IT" sz="1100"/>
                <a:t>Questa forma rappresenta un filtro dei dati. I filtri dei dati sono supportati in Excel 2010 o versione successiva.
Se la forma è stata modificata in una versione precedente di Excel o se la cartella di lavoro è stata salvata in Excel 2003 o versioni precedenti, non è possibile usare il filtro dei dati.</a:t>
              </a:r>
            </a:p>
          </xdr:txBody>
        </xdr:sp>
      </mc:Fallback>
    </mc:AlternateContent>
    <xdr:clientData/>
  </xdr:twoCellAnchor>
  <xdr:twoCellAnchor editAs="oneCell">
    <xdr:from>
      <xdr:col>30</xdr:col>
      <xdr:colOff>546100</xdr:colOff>
      <xdr:row>159</xdr:row>
      <xdr:rowOff>53340</xdr:rowOff>
    </xdr:from>
    <xdr:to>
      <xdr:col>35</xdr:col>
      <xdr:colOff>563880</xdr:colOff>
      <xdr:row>173</xdr:row>
      <xdr:rowOff>31115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FATTURATO CORSO">
              <a:extLst>
                <a:ext uri="{FF2B5EF4-FFF2-40B4-BE49-F238E27FC236}">
                  <a16:creationId xmlns:a16="http://schemas.microsoft.com/office/drawing/2014/main" id="{7A5A1A5A-7D18-92D9-92DC-36036B4623F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TTURATO CORS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834100" y="29199840"/>
              <a:ext cx="306578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IT" sz="1100"/>
                <a:t>Questa forma rappresenta un filtro dei dati. I filtri dei dati sono supportati in Excel 2010 o versione successiva.
Se la forma è stata modificata in una versione precedente di Excel o se la cartella di lavoro è stata salvata in Excel 2003 o versioni precedenti, non è possibile usare il filtro dei dati.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172720</xdr:rowOff>
    </xdr:from>
    <xdr:to>
      <xdr:col>8</xdr:col>
      <xdr:colOff>482600</xdr:colOff>
      <xdr:row>7</xdr:row>
      <xdr:rowOff>167640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4FC17996-C336-52E1-F222-E0188A7496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472440</xdr:colOff>
      <xdr:row>10</xdr:row>
      <xdr:rowOff>45720</xdr:rowOff>
    </xdr:from>
    <xdr:to>
      <xdr:col>10</xdr:col>
      <xdr:colOff>617220</xdr:colOff>
      <xdr:row>31</xdr:row>
      <xdr:rowOff>167640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C259FC19-ACCA-9795-EF4B-7EC0ABF2A1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G. Ferrara" refreshedDate="45020.454789236108" backgroundQuery="1" createdVersion="8" refreshedVersion="8" minRefreshableVersion="3" recordCount="0" supportSubquery="1" supportAdvancedDrill="1" xr:uid="{F4F8394F-0631-4A59-82C4-FA1D78E35937}">
  <cacheSource type="external" connectionId="1"/>
  <cacheFields count="3">
    <cacheField name="[Measures].[Somma di Colonna1]" caption="Somma di Colonna1" numFmtId="0" hierarchy="52" level="32767"/>
    <cacheField name="[programmazione].[ID DOCENTE].[ID DOCENTE]" caption="ID DOCENTE" numFmtId="0" hierarchy="15" level="1">
      <sharedItems count="10">
        <s v="ALBERT EINSTEIN"/>
        <s v="ANDREA PORTANOVA"/>
        <s v="CHIARA RAPELLI"/>
        <s v="ENZA LOSAPPIO"/>
        <s v="GIULIA VOCINO"/>
        <s v="ISAAC NEWTON"/>
        <s v="JOHN WATSON"/>
        <s v="MARIA CHIARA BIONDI"/>
        <s v="NIKOLA TESLA"/>
        <s v="SIMONA REALE"/>
      </sharedItems>
    </cacheField>
    <cacheField name="[programmazione].[ID SEDE].[ID SEDE]" caption="ID SEDE" numFmtId="0" hierarchy="16" level="1">
      <sharedItems containsSemiMixedTypes="0" containsNonDate="0" containsString="0"/>
    </cacheField>
  </cacheFields>
  <cacheHierarchies count="53">
    <cacheHierarchy uniqueName="[corsi].[ID CORSO]" caption="ID CORSO" attribute="1" defaultMemberUniqueName="[corsi].[ID CORSO].[All]" allUniqueName="[corsi].[ID CORSO].[All]" dimensionUniqueName="[corsi]" displayFolder="" count="0" memberValueDatatype="130" unbalanced="0"/>
    <cacheHierarchy uniqueName="[corsi].[TITOLO]" caption="TITOLO" attribute="1" defaultMemberUniqueName="[corsi].[TITOLO].[All]" allUniqueName="[corsi].[TITOLO].[All]" dimensionUniqueName="[corsi]" displayFolder="" count="0" memberValueDatatype="130" unbalanced="0"/>
    <cacheHierarchy uniqueName="[corsi].[MATERIA]" caption="MATERIA" attribute="1" defaultMemberUniqueName="[corsi].[MATERIA].[All]" allUniqueName="[corsi].[MATERIA].[All]" dimensionUniqueName="[corsi]" displayFolder="" count="2" memberValueDatatype="130" unbalanced="0"/>
    <cacheHierarchy uniqueName="[corsi].[PREZZO]" caption="PREZZO" attribute="1" defaultMemberUniqueName="[corsi].[PREZZO].[All]" allUniqueName="[corsi].[PREZZO].[All]" dimensionUniqueName="[corsi]" displayFolder="" count="0" memberValueDatatype="20" unbalanced="0"/>
    <cacheHierarchy uniqueName="[corsi].[ORE]" caption="ORE" attribute="1" defaultMemberUniqueName="[corsi].[ORE].[All]" allUniqueName="[corsi].[ORE].[All]" dimensionUniqueName="[corsi]" displayFolder="" count="0" memberValueDatatype="20" unbalanced="0"/>
    <cacheHierarchy uniqueName="[corsi].[COSTO TOTALE]" caption="COSTO TOTALE" attribute="1" defaultMemberUniqueName="[corsi].[COSTO TOTALE].[All]" allUniqueName="[corsi].[COSTO TOTALE].[All]" dimensionUniqueName="[corsi]" displayFolder="" count="0" memberValueDatatype="20" unbalanced="0"/>
    <cacheHierarchy uniqueName="[docenti].[ID DOCENTE]" caption="ID DOCENTE" attribute="1" defaultMemberUniqueName="[docenti].[ID DOCENTE].[All]" allUniqueName="[docenti].[ID DOCENTE].[All]" dimensionUniqueName="[docenti]" displayFolder="" count="0" memberValueDatatype="130" unbalanced="0"/>
    <cacheHierarchy uniqueName="[docenti].[NOME]" caption="NOME" attribute="1" defaultMemberUniqueName="[docenti].[NOME].[All]" allUniqueName="[docenti].[NOME].[All]" dimensionUniqueName="[docenti]" displayFolder="" count="0" memberValueDatatype="130" unbalanced="0"/>
    <cacheHierarchy uniqueName="[docenti].[COGNOME]" caption="COGNOME" attribute="1" defaultMemberUniqueName="[docenti].[COGNOME].[All]" allUniqueName="[docenti].[COGNOME].[All]" dimensionUniqueName="[docenti]" displayFolder="" count="0" memberValueDatatype="130" unbalanced="0"/>
    <cacheHierarchy uniqueName="[docenti].[DATA DI NASCITA]" caption="DATA DI NASCITA" attribute="1" time="1" defaultMemberUniqueName="[docenti].[DATA DI NASCITA].[All]" allUniqueName="[docenti].[DATA DI NASCITA].[All]" dimensionUniqueName="[docenti]" displayFolder="" count="0" memberValueDatatype="7" unbalanced="0"/>
    <cacheHierarchy uniqueName="[docenti].[CITTA' DI RESIDENZA]" caption="CITTA' DI RESIDENZA" attribute="1" defaultMemberUniqueName="[docenti].[CITTA' DI RESIDENZA].[All]" allUniqueName="[docenti].[CITTA' DI RESIDENZA].[All]" dimensionUniqueName="[docenti]" displayFolder="" count="0" memberValueDatatype="130" unbalanced="0"/>
    <cacheHierarchy uniqueName="[docenti].[MATERIA]" caption="MATERIA" attribute="1" defaultMemberUniqueName="[docenti].[MATERIA].[All]" allUniqueName="[docenti].[MATERIA].[All]" dimensionUniqueName="[docenti]" displayFolder="" count="0" memberValueDatatype="130" unbalanced="0"/>
    <cacheHierarchy uniqueName="[docenti].[NOMINATIVO COMPLETO]" caption="NOMINATIVO COMPLETO" attribute="1" defaultMemberUniqueName="[docenti].[NOMINATIVO COMPLETO].[All]" allUniqueName="[docenti].[NOMINATIVO COMPLETO].[All]" dimensionUniqueName="[docenti]" displayFolder="" count="0" memberValueDatatype="130" unbalanced="0"/>
    <cacheHierarchy uniqueName="[programmazione].[ID PROGRAMMAZIONE]" caption="ID PROGRAMMAZIONE" attribute="1" defaultMemberUniqueName="[programmazione].[ID PROGRAMMAZIONE].[All]" allUniqueName="[programmazione].[ID PROGRAMMAZIONE].[All]" dimensionUniqueName="[programmazione]" displayFolder="" count="0" memberValueDatatype="130" unbalanced="0"/>
    <cacheHierarchy uniqueName="[programmazione].[ID CORSO]" caption="ID CORSO" attribute="1" defaultMemberUniqueName="[programmazione].[ID CORSO].[All]" allUniqueName="[programmazione].[ID CORSO].[All]" dimensionUniqueName="[programmazione]" displayFolder="" count="0" memberValueDatatype="130" unbalanced="0"/>
    <cacheHierarchy uniqueName="[programmazione].[ID DOCENTE]" caption="ID DOCENTE" attribute="1" defaultMemberUniqueName="[programmazione].[ID DOCENTE].[All]" allUniqueName="[programmazione].[ID DOCENTE].[All]" dimensionUniqueName="[programmazione]" displayFolder="" count="2" memberValueDatatype="130" unbalanced="0">
      <fieldsUsage count="2">
        <fieldUsage x="-1"/>
        <fieldUsage x="1"/>
      </fieldsUsage>
    </cacheHierarchy>
    <cacheHierarchy uniqueName="[programmazione].[ID SEDE]" caption="ID SEDE" attribute="1" defaultMemberUniqueName="[programmazione].[ID SEDE].[All]" allUniqueName="[programmazione].[ID SEDE].[All]" dimensionUniqueName="[programmazione]" displayFolder="" count="2" memberValueDatatype="130" unbalanced="0">
      <fieldsUsage count="2">
        <fieldUsage x="-1"/>
        <fieldUsage x="2"/>
      </fieldsUsage>
    </cacheHierarchy>
    <cacheHierarchy uniqueName="[programmazione].[DATA INIZIO]" caption="DATA INIZIO" attribute="1" time="1" defaultMemberUniqueName="[programmazione].[DATA INIZIO].[All]" allUniqueName="[programmazione].[DATA INIZIO].[All]" dimensionUniqueName="[programmazione]" displayFolder="" count="0" memberValueDatatype="7" unbalanced="0"/>
    <cacheHierarchy uniqueName="[programmazione].[DATA FINE]" caption="DATA FINE" attribute="1" time="1" defaultMemberUniqueName="[programmazione].[DATA FINE].[All]" allUniqueName="[programmazione].[DATA FINE].[All]" dimensionUniqueName="[programmazione]" displayFolder="" count="0" memberValueDatatype="7" unbalanced="0"/>
    <cacheHierarchy uniqueName="[programmazione].[ORE]" caption="ORE" attribute="1" defaultMemberUniqueName="[programmazione].[ORE].[All]" allUniqueName="[programmazione].[ORE].[All]" dimensionUniqueName="[programmazione]" displayFolder="" count="0" memberValueDatatype="20" unbalanced="0"/>
    <cacheHierarchy uniqueName="[programmazione].[FATTURATO CORSO]" caption="FATTURATO CORSO" attribute="1" defaultMemberUniqueName="[programmazione].[FATTURATO CORSO].[All]" allUniqueName="[programmazione].[FATTURATO CORSO].[All]" dimensionUniqueName="[programmazione]" displayFolder="" count="0" memberValueDatatype="20" unbalanced="0"/>
    <cacheHierarchy uniqueName="[sedi].[ID SEDE]" caption="ID SEDE" attribute="1" defaultMemberUniqueName="[sedi].[ID SEDE].[All]" allUniqueName="[sedi].[ID SEDE].[All]" dimensionUniqueName="[sedi]" displayFolder="" count="0" memberValueDatatype="130" unbalanced="0"/>
    <cacheHierarchy uniqueName="[sedi].[DENOMINAZIONE]" caption="DENOMINAZIONE" attribute="1" defaultMemberUniqueName="[sedi].[DENOMINAZIONE].[All]" allUniqueName="[sedi].[DENOMINAZIONE].[All]" dimensionUniqueName="[sedi]" displayFolder="" count="0" memberValueDatatype="130" unbalanced="0"/>
    <cacheHierarchy uniqueName="[sedi].[CITTA']" caption="CITTA'" attribute="1" defaultMemberUniqueName="[sedi].[CITTA'].[All]" allUniqueName="[sedi].[CITTA'].[All]" dimensionUniqueName="[sedi]" displayFolder="" count="0" memberValueDatatype="130" unbalanced="0"/>
    <cacheHierarchy uniqueName="[sedi].[INDIRIZZO]" caption="INDIRIZZO" attribute="1" defaultMemberUniqueName="[sedi].[INDIRIZZO].[All]" allUniqueName="[sedi].[INDIRIZZO].[All]" dimensionUniqueName="[sedi]" displayFolder="" count="0" memberValueDatatype="130" unbalanced="0"/>
    <cacheHierarchy uniqueName="[sedi].[CAPIENZA]" caption="CAPIENZA" attribute="1" defaultMemberUniqueName="[sedi].[CAPIENZA].[All]" allUniqueName="[sedi].[CAPIENZA].[All]" dimensionUniqueName="[sedi]" displayFolder="" count="0" memberValueDatatype="20" unbalanced="0"/>
    <cacheHierarchy uniqueName="[Measures].[__XL_Count Tabella1]" caption="__XL_Count Tabella1" measure="1" displayFolder="" measureGroup="sedi" count="0" hidden="1"/>
    <cacheHierarchy uniqueName="[Measures].[__XL_Count Tabella3]" caption="__XL_Count Tabella3" measure="1" displayFolder="" measureGroup="corsi" count="0" hidden="1"/>
    <cacheHierarchy uniqueName="[Measures].[__XL_Count Tabella4]" caption="__XL_Count Tabella4" measure="1" displayFolder="" measureGroup="docenti" count="0" hidden="1"/>
    <cacheHierarchy uniqueName="[Measures].[__XL_Count Tabella5]" caption="__XL_Count Tabella5" measure="1" displayFolder="" measureGroup="programmazione" count="0" hidden="1"/>
    <cacheHierarchy uniqueName="[Measures].[__No measures defined]" caption="__No measures defined" measure="1" displayFolder="" count="0" hidden="1"/>
    <cacheHierarchy uniqueName="[Measures].[Somma di PREZZO]" caption="Somma di PREZZO" measure="1" displayFolder="" measureGroup="cors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eggio di PREZZO]" caption="Conteggio di PREZZO" measure="1" displayFolder="" measureGroup="cors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Massimo di PREZZO]" caption="Massimo di PREZZO" measure="1" displayFolder="" measureGroup="cors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Media di PREZZO]" caption="Media di PREZZO" measure="1" displayFolder="" measureGroup="cors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a di ORE]" caption="Somma di ORE" measure="1" displayFolder="" measureGroup="cors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eggio di ORE]" caption="Conteggio di ORE" measure="1" displayFolder="" measureGroup="cors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Distinct Count di ORE]" caption="Distinct Count di ORE" measure="1" displayFolder="" measureGroup="cors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omma di CAPIENZA]" caption="Somma di CAPIENZA" measure="1" displayFolder="" measureGroup="sedi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Conteggio di CAPIENZA]" caption="Conteggio di CAPIENZA" measure="1" displayFolder="" measureGroup="sedi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Dev. standard di CAPIENZA]" caption="Dev. standard di CAPIENZA" measure="1" displayFolder="" measureGroup="sedi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Distinct Count di CAPIENZA]" caption="Distinct Count di CAPIENZA" measure="1" displayFolder="" measureGroup="sedi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Massimo di CAPIENZA]" caption="Massimo di CAPIENZA" measure="1" displayFolder="" measureGroup="sedi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arianza di ORE]" caption="Varianza di ORE" measure="1" displayFolder="" measureGroup="cors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Massimo di ORE]" caption="Massimo di ORE" measure="1" displayFolder="" measureGroup="cors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eggio di DATA INIZIO]" caption="Conteggio di DATA INIZIO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Conteggio di DATA FINE]" caption="Conteggio di DATA FINE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Distinct Count di DATA INIZIO]" caption="Distinct Count di DATA INIZIO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ma di ORE 2]" caption="Somma di ORE 2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nteggio di ID DOCENTE]" caption="Conteggio di ID DOCENTE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eggio di MATERIA]" caption="Conteggio di MATERIA" measure="1" displayFolder="" measureGroup="docenti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a di COSTO TOTALE]" caption="Somma di COSTO TOTALE" measure="1" displayFolder="" measureGroup="corsi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omma di Colonna1]" caption="Somma di Colonna1" measure="1" displayFolder="" measureGroup="programmazione" count="0" oneField="1" hidden="1">
      <fieldsUsage count="1">
        <fieldUsage x="0"/>
      </fieldsUsage>
    </cacheHierarchy>
  </cacheHierarchies>
  <kpis count="0"/>
  <dimensions count="5">
    <dimension name="corsi" uniqueName="[corsi]" caption="corsi"/>
    <dimension name="docenti" uniqueName="[docenti]" caption="docenti"/>
    <dimension measure="1" name="Measures" uniqueName="[Measures]" caption="Measures"/>
    <dimension name="programmazione" uniqueName="[programmazione]" caption="programmazione"/>
    <dimension name="sedi" uniqueName="[sedi]" caption="sedi"/>
  </dimensions>
  <measureGroups count="4">
    <measureGroup name="corsi" caption="corsi"/>
    <measureGroup name="docenti" caption="docenti"/>
    <measureGroup name="programmazione" caption="programmazione"/>
    <measureGroup name="sedi" caption="sedi"/>
  </measureGroups>
  <maps count="7">
    <map measureGroup="0" dimension="0"/>
    <map measureGroup="1" dimension="1"/>
    <map measureGroup="2" dimension="0"/>
    <map measureGroup="2" dimension="1"/>
    <map measureGroup="2" dimension="3"/>
    <map measureGroup="2" dimension="4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G. Ferrara" refreshedDate="45020.454787962961" backgroundQuery="1" createdVersion="8" refreshedVersion="8" minRefreshableVersion="3" recordCount="0" supportSubquery="1" supportAdvancedDrill="1" xr:uid="{F7C8AB11-155F-4E50-BEAC-7289F1E180D8}">
  <cacheSource type="external" connectionId="1"/>
  <cacheFields count="3">
    <cacheField name="[sedi].[CITTA'].[CITTA']" caption="CITTA'" numFmtId="0" hierarchy="24" level="1">
      <sharedItems count="4">
        <s v="BARI"/>
        <s v="BOLOGNA"/>
        <s v="NAPOLI"/>
        <s v="ONLINE"/>
      </sharedItems>
    </cacheField>
    <cacheField name="[Measures].[Somma di CAPIENZA]" caption="Somma di CAPIENZA" numFmtId="0" hierarchy="40" level="32767"/>
    <cacheField name="[programmazione].[ID SEDE].[ID SEDE]" caption="ID SEDE" numFmtId="0" hierarchy="16" level="1">
      <sharedItems containsSemiMixedTypes="0" containsNonDate="0" containsString="0"/>
    </cacheField>
  </cacheFields>
  <cacheHierarchies count="55">
    <cacheHierarchy uniqueName="[corsi].[ID CORSO]" caption="ID CORSO" attribute="1" defaultMemberUniqueName="[corsi].[ID CORSO].[All]" allUniqueName="[corsi].[ID CORSO].[All]" dimensionUniqueName="[corsi]" displayFolder="" count="0" memberValueDatatype="130" unbalanced="0"/>
    <cacheHierarchy uniqueName="[corsi].[TITOLO]" caption="TITOLO" attribute="1" defaultMemberUniqueName="[corsi].[TITOLO].[All]" allUniqueName="[corsi].[TITOLO].[All]" dimensionUniqueName="[corsi]" displayFolder="" count="0" memberValueDatatype="130" unbalanced="0"/>
    <cacheHierarchy uniqueName="[corsi].[MATERIA]" caption="MATERIA" attribute="1" defaultMemberUniqueName="[corsi].[MATERIA].[All]" allUniqueName="[corsi].[MATERIA].[All]" dimensionUniqueName="[corsi]" displayFolder="" count="0" memberValueDatatype="130" unbalanced="0"/>
    <cacheHierarchy uniqueName="[corsi].[PREZZO]" caption="PREZZO" attribute="1" defaultMemberUniqueName="[corsi].[PREZZO].[All]" allUniqueName="[corsi].[PREZZO].[All]" dimensionUniqueName="[corsi]" displayFolder="" count="0" memberValueDatatype="20" unbalanced="0"/>
    <cacheHierarchy uniqueName="[corsi].[ORE]" caption="ORE" attribute="1" defaultMemberUniqueName="[corsi].[ORE].[All]" allUniqueName="[corsi].[ORE].[All]" dimensionUniqueName="[corsi]" displayFolder="" count="0" memberValueDatatype="20" unbalanced="0"/>
    <cacheHierarchy uniqueName="[corsi].[COSTO TOTALE]" caption="COSTO TOTALE" attribute="1" defaultMemberUniqueName="[corsi].[COSTO TOTALE].[All]" allUniqueName="[corsi].[COSTO TOTALE].[All]" dimensionUniqueName="[corsi]" displayFolder="" count="0" memberValueDatatype="20" unbalanced="0"/>
    <cacheHierarchy uniqueName="[docenti].[ID DOCENTE]" caption="ID DOCENTE" attribute="1" defaultMemberUniqueName="[docenti].[ID DOCENTE].[All]" allUniqueName="[docenti].[ID DOCENTE].[All]" dimensionUniqueName="[docenti]" displayFolder="" count="0" memberValueDatatype="130" unbalanced="0"/>
    <cacheHierarchy uniqueName="[docenti].[NOME]" caption="NOME" attribute="1" defaultMemberUniqueName="[docenti].[NOME].[All]" allUniqueName="[docenti].[NOME].[All]" dimensionUniqueName="[docenti]" displayFolder="" count="0" memberValueDatatype="130" unbalanced="0"/>
    <cacheHierarchy uniqueName="[docenti].[COGNOME]" caption="COGNOME" attribute="1" defaultMemberUniqueName="[docenti].[COGNOME].[All]" allUniqueName="[docenti].[COGNOME].[All]" dimensionUniqueName="[docenti]" displayFolder="" count="0" memberValueDatatype="130" unbalanced="0"/>
    <cacheHierarchy uniqueName="[docenti].[DATA DI NASCITA]" caption="DATA DI NASCITA" attribute="1" time="1" defaultMemberUniqueName="[docenti].[DATA DI NASCITA].[All]" allUniqueName="[docenti].[DATA DI NASCITA].[All]" dimensionUniqueName="[docenti]" displayFolder="" count="0" memberValueDatatype="7" unbalanced="0"/>
    <cacheHierarchy uniqueName="[docenti].[CITTA' DI RESIDENZA]" caption="CITTA' DI RESIDENZA" attribute="1" defaultMemberUniqueName="[docenti].[CITTA' DI RESIDENZA].[All]" allUniqueName="[docenti].[CITTA' DI RESIDENZA].[All]" dimensionUniqueName="[docenti]" displayFolder="" count="0" memberValueDatatype="130" unbalanced="0"/>
    <cacheHierarchy uniqueName="[docenti].[MATERIA]" caption="MATERIA" attribute="1" defaultMemberUniqueName="[docenti].[MATERIA].[All]" allUniqueName="[docenti].[MATERIA].[All]" dimensionUniqueName="[docenti]" displayFolder="" count="0" memberValueDatatype="130" unbalanced="0"/>
    <cacheHierarchy uniqueName="[docenti].[NOMINATIVO COMPLETO]" caption="NOMINATIVO COMPLETO" attribute="1" defaultMemberUniqueName="[docenti].[NOMINATIVO COMPLETO].[All]" allUniqueName="[docenti].[NOMINATIVO COMPLETO].[All]" dimensionUniqueName="[docenti]" displayFolder="" count="0" memberValueDatatype="130" unbalanced="0"/>
    <cacheHierarchy uniqueName="[programmazione].[ID PROGRAMMAZIONE]" caption="ID PROGRAMMAZIONE" attribute="1" defaultMemberUniqueName="[programmazione].[ID PROGRAMMAZIONE].[All]" allUniqueName="[programmazione].[ID PROGRAMMAZIONE].[All]" dimensionUniqueName="[programmazione]" displayFolder="" count="0" memberValueDatatype="130" unbalanced="0"/>
    <cacheHierarchy uniqueName="[programmazione].[ID CORSO]" caption="ID CORSO" attribute="1" defaultMemberUniqueName="[programmazione].[ID CORSO].[All]" allUniqueName="[programmazione].[ID CORSO].[All]" dimensionUniqueName="[programmazione]" displayFolder="" count="0" memberValueDatatype="130" unbalanced="0"/>
    <cacheHierarchy uniqueName="[programmazione].[ID DOCENTE]" caption="ID DOCENTE" attribute="1" defaultMemberUniqueName="[programmazione].[ID DOCENTE].[All]" allUniqueName="[programmazione].[ID DOCENTE].[All]" dimensionUniqueName="[programmazione]" displayFolder="" count="0" memberValueDatatype="130" unbalanced="0"/>
    <cacheHierarchy uniqueName="[programmazione].[ID SEDE]" caption="ID SEDE" attribute="1" defaultMemberUniqueName="[programmazione].[ID SEDE].[All]" allUniqueName="[programmazione].[ID SEDE].[All]" dimensionUniqueName="[programmazione]" displayFolder="" count="2" memberValueDatatype="130" unbalanced="0">
      <fieldsUsage count="2">
        <fieldUsage x="-1"/>
        <fieldUsage x="2"/>
      </fieldsUsage>
    </cacheHierarchy>
    <cacheHierarchy uniqueName="[programmazione].[DATA INIZIO]" caption="DATA INIZIO" attribute="1" time="1" defaultMemberUniqueName="[programmazione].[DATA INIZIO].[All]" allUniqueName="[programmazione].[DATA INIZIO].[All]" dimensionUniqueName="[programmazione]" displayFolder="" count="0" memberValueDatatype="7" unbalanced="0"/>
    <cacheHierarchy uniqueName="[programmazione].[DATA FINE]" caption="DATA FINE" attribute="1" time="1" defaultMemberUniqueName="[programmazione].[DATA FINE].[All]" allUniqueName="[programmazione].[DATA FINE].[All]" dimensionUniqueName="[programmazione]" displayFolder="" count="0" memberValueDatatype="7" unbalanced="0"/>
    <cacheHierarchy uniqueName="[programmazione].[ORE]" caption="ORE" attribute="1" defaultMemberUniqueName="[programmazione].[ORE].[All]" allUniqueName="[programmazione].[ORE].[All]" dimensionUniqueName="[programmazione]" displayFolder="" count="0" memberValueDatatype="20" unbalanced="0"/>
    <cacheHierarchy uniqueName="[programmazione].[FATTURATO CORSO]" caption="FATTURATO CORSO" attribute="1" defaultMemberUniqueName="[programmazione].[FATTURATO CORSO].[All]" allUniqueName="[programmazione].[FATTURATO CORSO].[All]" dimensionUniqueName="[programmazione]" displayFolder="" count="0" memberValueDatatype="20" unbalanced="0"/>
    <cacheHierarchy uniqueName="[programmazione].[DATA INIZIO (mese)]" caption="DATA INIZIO (mese)" attribute="1" defaultMemberUniqueName="[programmazione].[DATA INIZIO (mese)].[All]" allUniqueName="[programmazione].[DATA INIZIO (mese)].[All]" dimensionUniqueName="[programmazione]" displayFolder="" count="0" memberValueDatatype="130" unbalanced="0"/>
    <cacheHierarchy uniqueName="[sedi].[ID SEDE]" caption="ID SEDE" attribute="1" defaultMemberUniqueName="[sedi].[ID SEDE].[All]" allUniqueName="[sedi].[ID SEDE].[All]" dimensionUniqueName="[sedi]" displayFolder="" count="0" memberValueDatatype="130" unbalanced="0"/>
    <cacheHierarchy uniqueName="[sedi].[DENOMINAZIONE]" caption="DENOMINAZIONE" attribute="1" defaultMemberUniqueName="[sedi].[DENOMINAZIONE].[All]" allUniqueName="[sedi].[DENOMINAZIONE].[All]" dimensionUniqueName="[sedi]" displayFolder="" count="0" memberValueDatatype="130" unbalanced="0"/>
    <cacheHierarchy uniqueName="[sedi].[CITTA']" caption="CITTA'" attribute="1" defaultMemberUniqueName="[sedi].[CITTA'].[All]" allUniqueName="[sedi].[CITTA'].[All]" dimensionUniqueName="[sedi]" displayFolder="" count="2" memberValueDatatype="130" unbalanced="0">
      <fieldsUsage count="2">
        <fieldUsage x="-1"/>
        <fieldUsage x="0"/>
      </fieldsUsage>
    </cacheHierarchy>
    <cacheHierarchy uniqueName="[sedi].[INDIRIZZO]" caption="INDIRIZZO" attribute="1" defaultMemberUniqueName="[sedi].[INDIRIZZO].[All]" allUniqueName="[sedi].[INDIRIZZO].[All]" dimensionUniqueName="[sedi]" displayFolder="" count="0" memberValueDatatype="130" unbalanced="0"/>
    <cacheHierarchy uniqueName="[sedi].[CAPIENZA]" caption="CAPIENZA" attribute="1" defaultMemberUniqueName="[sedi].[CAPIENZA].[All]" allUniqueName="[sedi].[CAPIENZA].[All]" dimensionUniqueName="[sedi]" displayFolder="" count="0" memberValueDatatype="20" unbalanced="0"/>
    <cacheHierarchy uniqueName="[programmazione].[DATA INIZIO (indice mese)]" caption="DATA INIZIO (indice mese)" attribute="1" defaultMemberUniqueName="[programmazione].[DATA INIZIO (indice mese)].[All]" allUniqueName="[programmazione].[DATA INIZIO (indice mese)].[All]" dimensionUniqueName="[programmazione]" displayFolder="" count="0" memberValueDatatype="20" unbalanced="0" hidden="1"/>
    <cacheHierarchy uniqueName="[Measures].[__XL_Count Tabella1]" caption="__XL_Count Tabella1" measure="1" displayFolder="" measureGroup="sedi" count="0" hidden="1"/>
    <cacheHierarchy uniqueName="[Measures].[__XL_Count Tabella3]" caption="__XL_Count Tabella3" measure="1" displayFolder="" measureGroup="corsi" count="0" hidden="1"/>
    <cacheHierarchy uniqueName="[Measures].[__XL_Count Tabella4]" caption="__XL_Count Tabella4" measure="1" displayFolder="" measureGroup="docenti" count="0" hidden="1"/>
    <cacheHierarchy uniqueName="[Measures].[__XL_Count Tabella5]" caption="__XL_Count Tabella5" measure="1" displayFolder="" measureGroup="programmazione" count="0" hidden="1"/>
    <cacheHierarchy uniqueName="[Measures].[__No measures defined]" caption="__No measures defined" measure="1" displayFolder="" count="0" hidden="1"/>
    <cacheHierarchy uniqueName="[Measures].[Somma di PREZZO]" caption="Somma di PREZZO" measure="1" displayFolder="" measureGroup="cors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eggio di PREZZO]" caption="Conteggio di PREZZO" measure="1" displayFolder="" measureGroup="cors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Massimo di PREZZO]" caption="Massimo di PREZZO" measure="1" displayFolder="" measureGroup="cors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Media di PREZZO]" caption="Media di PREZZO" measure="1" displayFolder="" measureGroup="cors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a di ORE]" caption="Somma di ORE" measure="1" displayFolder="" measureGroup="cors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eggio di ORE]" caption="Conteggio di ORE" measure="1" displayFolder="" measureGroup="cors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Distinct Count di ORE]" caption="Distinct Count di ORE" measure="1" displayFolder="" measureGroup="cors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omma di CAPIENZA]" caption="Somma di CAPIENZA" measure="1" displayFolder="" measureGroup="sedi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Conteggio di CAPIENZA]" caption="Conteggio di CAPIENZA" measure="1" displayFolder="" measureGroup="sedi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Dev. standard di CAPIENZA]" caption="Dev. standard di CAPIENZA" measure="1" displayFolder="" measureGroup="sedi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Distinct Count di CAPIENZA]" caption="Distinct Count di CAPIENZA" measure="1" displayFolder="" measureGroup="sedi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Massimo di CAPIENZA]" caption="Massimo di CAPIENZA" measure="1" displayFolder="" measureGroup="sedi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Varianza di ORE]" caption="Varianza di ORE" measure="1" displayFolder="" measureGroup="cors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Massimo di ORE]" caption="Massimo di ORE" measure="1" displayFolder="" measureGroup="cors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eggio di DATA INIZIO]" caption="Conteggio di DATA INIZIO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Conteggio di DATA FINE]" caption="Conteggio di DATA FINE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Distinct Count di DATA INIZIO]" caption="Distinct Count di DATA INIZIO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ma di ORE 2]" caption="Somma di ORE 2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nteggio di ID DOCENTE]" caption="Conteggio di ID DOCENTE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eggio di MATERIA]" caption="Conteggio di MATERIA" measure="1" displayFolder="" measureGroup="docenti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a di COSTO TOTALE]" caption="Somma di COSTO TOTALE" measure="1" displayFolder="" measureGroup="corsi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FATTURATO CORSO]" caption="Sum of FATTURATO CORSO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</cacheHierarchies>
  <kpis count="0"/>
  <dimensions count="5">
    <dimension name="corsi" uniqueName="[corsi]" caption="corsi"/>
    <dimension name="docenti" uniqueName="[docenti]" caption="docenti"/>
    <dimension measure="1" name="Measures" uniqueName="[Measures]" caption="Measures"/>
    <dimension name="programmazione" uniqueName="[programmazione]" caption="programmazione"/>
    <dimension name="sedi" uniqueName="[sedi]" caption="sedi"/>
  </dimensions>
  <measureGroups count="4">
    <measureGroup name="corsi" caption="corsi"/>
    <measureGroup name="docenti" caption="docenti"/>
    <measureGroup name="programmazione" caption="programmazione"/>
    <measureGroup name="sedi" caption="sedi"/>
  </measureGroups>
  <maps count="7">
    <map measureGroup="0" dimension="0"/>
    <map measureGroup="1" dimension="1"/>
    <map measureGroup="2" dimension="0"/>
    <map measureGroup="2" dimension="1"/>
    <map measureGroup="2" dimension="3"/>
    <map measureGroup="2" dimension="4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Giuseppe d'Amico" refreshedDate="45020.770369791666" createdVersion="5" refreshedVersion="8" minRefreshableVersion="3" recordCount="0" supportSubquery="1" supportAdvancedDrill="1" xr:uid="{5000EBE7-9666-4271-B8A4-4399039D4441}">
  <cacheSource type="external" connectionId="1"/>
  <cacheFields count="7">
    <cacheField name="[Measures].[Somma di COSTO TOTALE]" caption="Somma di COSTO TOTALE" numFmtId="0" hierarchy="53" level="32767"/>
    <cacheField name="[corsi].[TITOLO].[TITOLO]" caption="TITOLO" numFmtId="0" hierarchy="1" level="1">
      <sharedItems count="16">
        <s v="FISICA 1"/>
        <s v="FISICA 2"/>
        <s v="FISICA 3"/>
        <s v="FISICA 4"/>
        <s v="INGLESE 1"/>
        <s v="INGLESE 2"/>
        <s v="INGLESE 3"/>
        <s v="INGLESE 4"/>
        <s v="ITALIANO 1"/>
        <s v="ITALIANO 2"/>
        <s v="ITALIANO 3"/>
        <s v="ITALIANO 4"/>
        <s v="MATEMATICA 1"/>
        <s v="MATEMATICA 2"/>
        <s v="MATEMATICA 3"/>
        <s v="MATEMATICA 4"/>
      </sharedItems>
    </cacheField>
    <cacheField name="[programmazione].[ID DOCENTE].[ID DOCENTE]" caption="ID DOCENTE" numFmtId="0" hierarchy="15" level="1">
      <sharedItems containsSemiMixedTypes="0" containsNonDate="0" containsString="0"/>
    </cacheField>
    <cacheField name="[corsi].[MATERIA].[MATERIA]" caption="MATERIA" numFmtId="0" hierarchy="2" level="1">
      <sharedItems containsSemiMixedTypes="0" containsNonDate="0" containsString="0"/>
    </cacheField>
    <cacheField name="[corsi].[PREZZO].[PREZZO]" caption="PREZZO" numFmtId="0" hierarchy="3" level="1">
      <sharedItems containsSemiMixedTypes="0" containsNonDate="0" containsString="0"/>
    </cacheField>
    <cacheField name="[corsi].[COSTO TOTALE].[COSTO TOTALE]" caption="COSTO TOTALE" numFmtId="0" hierarchy="5" level="1">
      <sharedItems containsSemiMixedTypes="0" containsNonDate="0" containsString="0"/>
    </cacheField>
    <cacheField name="[corsi].[ORE].[ORE]" caption="ORE" numFmtId="0" hierarchy="4" level="1">
      <sharedItems containsSemiMixedTypes="0" containsNonDate="0" containsString="0"/>
    </cacheField>
  </cacheFields>
  <cacheHierarchies count="55">
    <cacheHierarchy uniqueName="[corsi].[ID CORSO]" caption="ID CORSO" attribute="1" defaultMemberUniqueName="[corsi].[ID CORSO].[All]" allUniqueName="[corsi].[ID CORSO].[All]" dimensionUniqueName="[corsi]" displayFolder="" count="0" memberValueDatatype="130" unbalanced="0"/>
    <cacheHierarchy uniqueName="[corsi].[TITOLO]" caption="TITOLO" attribute="1" defaultMemberUniqueName="[corsi].[TITOLO].[All]" allUniqueName="[corsi].[TITOLO].[All]" dimensionUniqueName="[corsi]" displayFolder="" count="2" memberValueDatatype="130" unbalanced="0">
      <fieldsUsage count="2">
        <fieldUsage x="-1"/>
        <fieldUsage x="1"/>
      </fieldsUsage>
    </cacheHierarchy>
    <cacheHierarchy uniqueName="[corsi].[MATERIA]" caption="MATERIA" attribute="1" defaultMemberUniqueName="[corsi].[MATERIA].[All]" allUniqueName="[corsi].[MATERIA].[All]" dimensionUniqueName="[corsi]" displayFolder="" count="2" memberValueDatatype="130" unbalanced="0">
      <fieldsUsage count="2">
        <fieldUsage x="-1"/>
        <fieldUsage x="3"/>
      </fieldsUsage>
    </cacheHierarchy>
    <cacheHierarchy uniqueName="[corsi].[PREZZO]" caption="PREZZO" attribute="1" defaultMemberUniqueName="[corsi].[PREZZO].[All]" allUniqueName="[corsi].[PREZZO].[All]" dimensionUniqueName="[corsi]" displayFolder="" count="2" memberValueDatatype="20" unbalanced="0">
      <fieldsUsage count="2">
        <fieldUsage x="-1"/>
        <fieldUsage x="4"/>
      </fieldsUsage>
    </cacheHierarchy>
    <cacheHierarchy uniqueName="[corsi].[ORE]" caption="ORE" attribute="1" defaultMemberUniqueName="[corsi].[ORE].[All]" allUniqueName="[corsi].[ORE].[All]" dimensionUniqueName="[corsi]" displayFolder="" count="2" memberValueDatatype="20" unbalanced="0">
      <fieldsUsage count="2">
        <fieldUsage x="-1"/>
        <fieldUsage x="6"/>
      </fieldsUsage>
    </cacheHierarchy>
    <cacheHierarchy uniqueName="[corsi].[COSTO TOTALE]" caption="COSTO TOTALE" attribute="1" defaultMemberUniqueName="[corsi].[COSTO TOTALE].[All]" allUniqueName="[corsi].[COSTO TOTALE].[All]" dimensionUniqueName="[corsi]" displayFolder="" count="2" memberValueDatatype="20" unbalanced="0">
      <fieldsUsage count="2">
        <fieldUsage x="-1"/>
        <fieldUsage x="5"/>
      </fieldsUsage>
    </cacheHierarchy>
    <cacheHierarchy uniqueName="[docenti].[ID DOCENTE]" caption="ID DOCENTE" attribute="1" defaultMemberUniqueName="[docenti].[ID DOCENTE].[All]" allUniqueName="[docenti].[ID DOCENTE].[All]" dimensionUniqueName="[docenti]" displayFolder="" count="0" memberValueDatatype="130" unbalanced="0"/>
    <cacheHierarchy uniqueName="[docenti].[NOME]" caption="NOME" attribute="1" defaultMemberUniqueName="[docenti].[NOME].[All]" allUniqueName="[docenti].[NOME].[All]" dimensionUniqueName="[docenti]" displayFolder="" count="0" memberValueDatatype="130" unbalanced="0"/>
    <cacheHierarchy uniqueName="[docenti].[COGNOME]" caption="COGNOME" attribute="1" defaultMemberUniqueName="[docenti].[COGNOME].[All]" allUniqueName="[docenti].[COGNOME].[All]" dimensionUniqueName="[docenti]" displayFolder="" count="0" memberValueDatatype="130" unbalanced="0"/>
    <cacheHierarchy uniqueName="[docenti].[DATA DI NASCITA]" caption="DATA DI NASCITA" attribute="1" time="1" defaultMemberUniqueName="[docenti].[DATA DI NASCITA].[All]" allUniqueName="[docenti].[DATA DI NASCITA].[All]" dimensionUniqueName="[docenti]" displayFolder="" count="0" memberValueDatatype="7" unbalanced="0"/>
    <cacheHierarchy uniqueName="[docenti].[CITTA' DI RESIDENZA]" caption="CITTA' DI RESIDENZA" attribute="1" defaultMemberUniqueName="[docenti].[CITTA' DI RESIDENZA].[All]" allUniqueName="[docenti].[CITTA' DI RESIDENZA].[All]" dimensionUniqueName="[docenti]" displayFolder="" count="0" memberValueDatatype="130" unbalanced="0"/>
    <cacheHierarchy uniqueName="[docenti].[MATERIA]" caption="MATERIA" attribute="1" defaultMemberUniqueName="[docenti].[MATERIA].[All]" allUniqueName="[docenti].[MATERIA].[All]" dimensionUniqueName="[docenti]" displayFolder="" count="0" memberValueDatatype="130" unbalanced="0"/>
    <cacheHierarchy uniqueName="[docenti].[NOMINATIVO COMPLETO]" caption="NOMINATIVO COMPLETO" attribute="1" defaultMemberUniqueName="[docenti].[NOMINATIVO COMPLETO].[All]" allUniqueName="[docenti].[NOMINATIVO COMPLETO].[All]" dimensionUniqueName="[docenti]" displayFolder="" count="0" memberValueDatatype="130" unbalanced="0"/>
    <cacheHierarchy uniqueName="[programmazione].[ID PROGRAMMAZIONE]" caption="ID PROGRAMMAZIONE" attribute="1" defaultMemberUniqueName="[programmazione].[ID PROGRAMMAZIONE].[All]" allUniqueName="[programmazione].[ID PROGRAMMAZIONE].[All]" dimensionUniqueName="[programmazione]" displayFolder="" count="0" memberValueDatatype="130" unbalanced="0"/>
    <cacheHierarchy uniqueName="[programmazione].[ID CORSO]" caption="ID CORSO" attribute="1" defaultMemberUniqueName="[programmazione].[ID CORSO].[All]" allUniqueName="[programmazione].[ID CORSO].[All]" dimensionUniqueName="[programmazione]" displayFolder="" count="0" memberValueDatatype="130" unbalanced="0"/>
    <cacheHierarchy uniqueName="[programmazione].[ID DOCENTE]" caption="ID DOCENTE" attribute="1" defaultMemberUniqueName="[programmazione].[ID DOCENTE].[All]" allUniqueName="[programmazione].[ID DOCENTE].[All]" dimensionUniqueName="[programmazione]" displayFolder="" count="2" memberValueDatatype="130" unbalanced="0">
      <fieldsUsage count="2">
        <fieldUsage x="-1"/>
        <fieldUsage x="2"/>
      </fieldsUsage>
    </cacheHierarchy>
    <cacheHierarchy uniqueName="[programmazione].[ID SEDE]" caption="ID SEDE" attribute="1" defaultMemberUniqueName="[programmazione].[ID SEDE].[All]" allUniqueName="[programmazione].[ID SEDE].[All]" dimensionUniqueName="[programmazione]" displayFolder="" count="0" memberValueDatatype="130" unbalanced="0"/>
    <cacheHierarchy uniqueName="[programmazione].[DATA INIZIO]" caption="DATA INIZIO" attribute="1" time="1" defaultMemberUniqueName="[programmazione].[DATA INIZIO].[All]" allUniqueName="[programmazione].[DATA INIZIO].[All]" dimensionUniqueName="[programmazione]" displayFolder="" count="0" memberValueDatatype="7" unbalanced="0"/>
    <cacheHierarchy uniqueName="[programmazione].[DATA FINE]" caption="DATA FINE" attribute="1" time="1" defaultMemberUniqueName="[programmazione].[DATA FINE].[All]" allUniqueName="[programmazione].[DATA FINE].[All]" dimensionUniqueName="[programmazione]" displayFolder="" count="0" memberValueDatatype="7" unbalanced="0"/>
    <cacheHierarchy uniqueName="[programmazione].[ORE]" caption="ORE" attribute="1" defaultMemberUniqueName="[programmazione].[ORE].[All]" allUniqueName="[programmazione].[ORE].[All]" dimensionUniqueName="[programmazione]" displayFolder="" count="0" memberValueDatatype="20" unbalanced="0"/>
    <cacheHierarchy uniqueName="[programmazione].[FATTURATO CORSO]" caption="FATTURATO CORSO" attribute="1" defaultMemberUniqueName="[programmazione].[FATTURATO CORSO].[All]" allUniqueName="[programmazione].[FATTURATO CORSO].[All]" dimensionUniqueName="[programmazione]" displayFolder="" count="0" memberValueDatatype="20" unbalanced="0"/>
    <cacheHierarchy uniqueName="[programmazione].[DATA INIZIO (mese)]" caption="DATA INIZIO (mese)" attribute="1" defaultMemberUniqueName="[programmazione].[DATA INIZIO (mese)].[All]" allUniqueName="[programmazione].[DATA INIZIO (mese)].[All]" dimensionUniqueName="[programmazione]" displayFolder="" count="0" memberValueDatatype="130" unbalanced="0"/>
    <cacheHierarchy uniqueName="[sedi].[ID SEDE]" caption="ID SEDE" attribute="1" defaultMemberUniqueName="[sedi].[ID SEDE].[All]" allUniqueName="[sedi].[ID SEDE].[All]" dimensionUniqueName="[sedi]" displayFolder="" count="0" memberValueDatatype="130" unbalanced="0"/>
    <cacheHierarchy uniqueName="[sedi].[DENOMINAZIONE]" caption="DENOMINAZIONE" attribute="1" defaultMemberUniqueName="[sedi].[DENOMINAZIONE].[All]" allUniqueName="[sedi].[DENOMINAZIONE].[All]" dimensionUniqueName="[sedi]" displayFolder="" count="0" memberValueDatatype="130" unbalanced="0"/>
    <cacheHierarchy uniqueName="[sedi].[CITTA']" caption="CITTA'" attribute="1" defaultMemberUniqueName="[sedi].[CITTA'].[All]" allUniqueName="[sedi].[CITTA'].[All]" dimensionUniqueName="[sedi]" displayFolder="" count="0" memberValueDatatype="130" unbalanced="0"/>
    <cacheHierarchy uniqueName="[sedi].[INDIRIZZO]" caption="INDIRIZZO" attribute="1" defaultMemberUniqueName="[sedi].[INDIRIZZO].[All]" allUniqueName="[sedi].[INDIRIZZO].[All]" dimensionUniqueName="[sedi]" displayFolder="" count="0" memberValueDatatype="130" unbalanced="0"/>
    <cacheHierarchy uniqueName="[sedi].[CAPIENZA]" caption="CAPIENZA" attribute="1" defaultMemberUniqueName="[sedi].[CAPIENZA].[All]" allUniqueName="[sedi].[CAPIENZA].[All]" dimensionUniqueName="[sedi]" displayFolder="" count="0" memberValueDatatype="20" unbalanced="0"/>
    <cacheHierarchy uniqueName="[programmazione].[DATA INIZIO (indice mese)]" caption="DATA INIZIO (indice mese)" attribute="1" defaultMemberUniqueName="[programmazione].[DATA INIZIO (indice mese)].[All]" allUniqueName="[programmazione].[DATA INIZIO (indice mese)].[All]" dimensionUniqueName="[programmazione]" displayFolder="" count="0" memberValueDatatype="20" unbalanced="0" hidden="1"/>
    <cacheHierarchy uniqueName="[Measures].[__XL_Count Tabella1]" caption="__XL_Count Tabella1" measure="1" displayFolder="" measureGroup="sedi" count="0" hidden="1"/>
    <cacheHierarchy uniqueName="[Measures].[__XL_Count Tabella3]" caption="__XL_Count Tabella3" measure="1" displayFolder="" measureGroup="corsi" count="0" hidden="1"/>
    <cacheHierarchy uniqueName="[Measures].[__XL_Count Tabella4]" caption="__XL_Count Tabella4" measure="1" displayFolder="" measureGroup="docenti" count="0" hidden="1"/>
    <cacheHierarchy uniqueName="[Measures].[__XL_Count Tabella5]" caption="__XL_Count Tabella5" measure="1" displayFolder="" measureGroup="programmazione" count="0" hidden="1"/>
    <cacheHierarchy uniqueName="[Measures].[__No measures defined]" caption="__No measures defined" measure="1" displayFolder="" count="0" hidden="1"/>
    <cacheHierarchy uniqueName="[Measures].[Somma di PREZZO]" caption="Somma di PREZZO" measure="1" displayFolder="" measureGroup="cors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eggio di PREZZO]" caption="Conteggio di PREZZO" measure="1" displayFolder="" measureGroup="cors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Massimo di PREZZO]" caption="Massimo di PREZZO" measure="1" displayFolder="" measureGroup="cors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Media di PREZZO]" caption="Media di PREZZO" measure="1" displayFolder="" measureGroup="cors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a di ORE]" caption="Somma di ORE" measure="1" displayFolder="" measureGroup="cors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eggio di ORE]" caption="Conteggio di ORE" measure="1" displayFolder="" measureGroup="cors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Distinct Count di ORE]" caption="Distinct Count di ORE" measure="1" displayFolder="" measureGroup="cors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omma di CAPIENZA]" caption="Somma di CAPIENZA" measure="1" displayFolder="" measureGroup="sedi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Conteggio di CAPIENZA]" caption="Conteggio di CAPIENZA" measure="1" displayFolder="" measureGroup="sedi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Dev. standard di CAPIENZA]" caption="Dev. standard di CAPIENZA" measure="1" displayFolder="" measureGroup="sedi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Distinct Count di CAPIENZA]" caption="Distinct Count di CAPIENZA" measure="1" displayFolder="" measureGroup="sedi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Massimo di CAPIENZA]" caption="Massimo di CAPIENZA" measure="1" displayFolder="" measureGroup="sedi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Varianza di ORE]" caption="Varianza di ORE" measure="1" displayFolder="" measureGroup="cors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Massimo di ORE]" caption="Massimo di ORE" measure="1" displayFolder="" measureGroup="cors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eggio di DATA INIZIO]" caption="Conteggio di DATA INIZIO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Conteggio di DATA FINE]" caption="Conteggio di DATA FINE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Distinct Count di DATA INIZIO]" caption="Distinct Count di DATA INIZIO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ma di ORE 2]" caption="Somma di ORE 2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nteggio di ID DOCENTE]" caption="Conteggio di ID DOCENTE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eggio di MATERIA]" caption="Conteggio di MATERIA" measure="1" displayFolder="" measureGroup="docenti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a di COSTO TOTALE]" caption="Somma di COSTO TOTALE" measure="1" displayFolder="" measureGroup="corsi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FATTURATO CORSO]" caption="Sum of FATTURATO CORSO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</cacheHierarchies>
  <kpis count="0"/>
  <dimensions count="5">
    <dimension name="corsi" uniqueName="[corsi]" caption="corsi"/>
    <dimension name="docenti" uniqueName="[docenti]" caption="docenti"/>
    <dimension measure="1" name="Measures" uniqueName="[Measures]" caption="Measures"/>
    <dimension name="programmazione" uniqueName="[programmazione]" caption="programmazione"/>
    <dimension name="sedi" uniqueName="[sedi]" caption="sedi"/>
  </dimensions>
  <measureGroups count="4">
    <measureGroup name="corsi" caption="corsi"/>
    <measureGroup name="docenti" caption="docenti"/>
    <measureGroup name="programmazione" caption="programmazione"/>
    <measureGroup name="sedi" caption="sedi"/>
  </measureGroups>
  <maps count="7">
    <map measureGroup="0" dimension="0"/>
    <map measureGroup="1" dimension="1"/>
    <map measureGroup="2" dimension="0"/>
    <map measureGroup="2" dimension="1"/>
    <map measureGroup="2" dimension="3"/>
    <map measureGroup="2" dimension="4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Giuseppe d'Amico" refreshedDate="45020.770373032406" createdVersion="5" refreshedVersion="8" minRefreshableVersion="3" recordCount="0" supportSubquery="1" supportAdvancedDrill="1" xr:uid="{3C00D4D4-E48B-4601-9C17-77555B15A550}">
  <cacheSource type="external" connectionId="1"/>
  <cacheFields count="8">
    <cacheField name="[Measures].[Somma di COSTO TOTALE]" caption="Somma di COSTO TOTALE" numFmtId="0" hierarchy="53" level="32767"/>
    <cacheField name="[Measures].[Somma di ORE]" caption="Somma di ORE" numFmtId="0" hierarchy="37" level="32767"/>
    <cacheField name="[Measures].[Somma di PREZZO]" caption="Somma di PREZZO" numFmtId="0" hierarchy="33" level="32767"/>
    <cacheField name="[corsi].[MATERIA].[MATERIA]" caption="MATERIA" numFmtId="0" hierarchy="2" level="1">
      <sharedItems count="4">
        <s v="FISICA"/>
        <s v="INGLESE"/>
        <s v="ITALIANO"/>
        <s v="MATEMATICA"/>
      </sharedItems>
    </cacheField>
    <cacheField name="[programmazione].[ID DOCENTE].[ID DOCENTE]" caption="ID DOCENTE" numFmtId="0" hierarchy="15" level="1">
      <sharedItems containsSemiMixedTypes="0" containsNonDate="0" containsString="0"/>
    </cacheField>
    <cacheField name="[corsi].[PREZZO].[PREZZO]" caption="PREZZO" numFmtId="0" hierarchy="3" level="1">
      <sharedItems containsSemiMixedTypes="0" containsNonDate="0" containsString="0"/>
    </cacheField>
    <cacheField name="[corsi].[COSTO TOTALE].[COSTO TOTALE]" caption="COSTO TOTALE" numFmtId="0" hierarchy="5" level="1">
      <sharedItems containsSemiMixedTypes="0" containsNonDate="0" containsString="0"/>
    </cacheField>
    <cacheField name="[corsi].[ORE].[ORE]" caption="ORE" numFmtId="0" hierarchy="4" level="1">
      <sharedItems containsSemiMixedTypes="0" containsNonDate="0" containsString="0"/>
    </cacheField>
  </cacheFields>
  <cacheHierarchies count="55">
    <cacheHierarchy uniqueName="[corsi].[ID CORSO]" caption="ID CORSO" attribute="1" defaultMemberUniqueName="[corsi].[ID CORSO].[All]" allUniqueName="[corsi].[ID CORSO].[All]" dimensionUniqueName="[corsi]" displayFolder="" count="0" memberValueDatatype="130" unbalanced="0"/>
    <cacheHierarchy uniqueName="[corsi].[TITOLO]" caption="TITOLO" attribute="1" defaultMemberUniqueName="[corsi].[TITOLO].[All]" allUniqueName="[corsi].[TITOLO].[All]" dimensionUniqueName="[corsi]" displayFolder="" count="0" memberValueDatatype="130" unbalanced="0"/>
    <cacheHierarchy uniqueName="[corsi].[MATERIA]" caption="MATERIA" attribute="1" defaultMemberUniqueName="[corsi].[MATERIA].[All]" allUniqueName="[corsi].[MATERIA].[All]" dimensionUniqueName="[corsi]" displayFolder="" count="2" memberValueDatatype="130" unbalanced="0">
      <fieldsUsage count="2">
        <fieldUsage x="-1"/>
        <fieldUsage x="3"/>
      </fieldsUsage>
    </cacheHierarchy>
    <cacheHierarchy uniqueName="[corsi].[PREZZO]" caption="PREZZO" attribute="1" defaultMemberUniqueName="[corsi].[PREZZO].[All]" allUniqueName="[corsi].[PREZZO].[All]" dimensionUniqueName="[corsi]" displayFolder="" count="2" memberValueDatatype="20" unbalanced="0">
      <fieldsUsage count="2">
        <fieldUsage x="-1"/>
        <fieldUsage x="5"/>
      </fieldsUsage>
    </cacheHierarchy>
    <cacheHierarchy uniqueName="[corsi].[ORE]" caption="ORE" attribute="1" defaultMemberUniqueName="[corsi].[ORE].[All]" allUniqueName="[corsi].[ORE].[All]" dimensionUniqueName="[corsi]" displayFolder="" count="2" memberValueDatatype="20" unbalanced="0">
      <fieldsUsage count="2">
        <fieldUsage x="-1"/>
        <fieldUsage x="7"/>
      </fieldsUsage>
    </cacheHierarchy>
    <cacheHierarchy uniqueName="[corsi].[COSTO TOTALE]" caption="COSTO TOTALE" attribute="1" defaultMemberUniqueName="[corsi].[COSTO TOTALE].[All]" allUniqueName="[corsi].[COSTO TOTALE].[All]" dimensionUniqueName="[corsi]" displayFolder="" count="2" memberValueDatatype="20" unbalanced="0">
      <fieldsUsage count="2">
        <fieldUsage x="-1"/>
        <fieldUsage x="6"/>
      </fieldsUsage>
    </cacheHierarchy>
    <cacheHierarchy uniqueName="[docenti].[ID DOCENTE]" caption="ID DOCENTE" attribute="1" defaultMemberUniqueName="[docenti].[ID DOCENTE].[All]" allUniqueName="[docenti].[ID DOCENTE].[All]" dimensionUniqueName="[docenti]" displayFolder="" count="0" memberValueDatatype="130" unbalanced="0"/>
    <cacheHierarchy uniqueName="[docenti].[NOME]" caption="NOME" attribute="1" defaultMemberUniqueName="[docenti].[NOME].[All]" allUniqueName="[docenti].[NOME].[All]" dimensionUniqueName="[docenti]" displayFolder="" count="0" memberValueDatatype="130" unbalanced="0"/>
    <cacheHierarchy uniqueName="[docenti].[COGNOME]" caption="COGNOME" attribute="1" defaultMemberUniqueName="[docenti].[COGNOME].[All]" allUniqueName="[docenti].[COGNOME].[All]" dimensionUniqueName="[docenti]" displayFolder="" count="0" memberValueDatatype="130" unbalanced="0"/>
    <cacheHierarchy uniqueName="[docenti].[DATA DI NASCITA]" caption="DATA DI NASCITA" attribute="1" time="1" defaultMemberUniqueName="[docenti].[DATA DI NASCITA].[All]" allUniqueName="[docenti].[DATA DI NASCITA].[All]" dimensionUniqueName="[docenti]" displayFolder="" count="0" memberValueDatatype="7" unbalanced="0"/>
    <cacheHierarchy uniqueName="[docenti].[CITTA' DI RESIDENZA]" caption="CITTA' DI RESIDENZA" attribute="1" defaultMemberUniqueName="[docenti].[CITTA' DI RESIDENZA].[All]" allUniqueName="[docenti].[CITTA' DI RESIDENZA].[All]" dimensionUniqueName="[docenti]" displayFolder="" count="0" memberValueDatatype="130" unbalanced="0"/>
    <cacheHierarchy uniqueName="[docenti].[MATERIA]" caption="MATERIA" attribute="1" defaultMemberUniqueName="[docenti].[MATERIA].[All]" allUniqueName="[docenti].[MATERIA].[All]" dimensionUniqueName="[docenti]" displayFolder="" count="0" memberValueDatatype="130" unbalanced="0"/>
    <cacheHierarchy uniqueName="[docenti].[NOMINATIVO COMPLETO]" caption="NOMINATIVO COMPLETO" attribute="1" defaultMemberUniqueName="[docenti].[NOMINATIVO COMPLETO].[All]" allUniqueName="[docenti].[NOMINATIVO COMPLETO].[All]" dimensionUniqueName="[docenti]" displayFolder="" count="0" memberValueDatatype="130" unbalanced="0"/>
    <cacheHierarchy uniqueName="[programmazione].[ID PROGRAMMAZIONE]" caption="ID PROGRAMMAZIONE" attribute="1" defaultMemberUniqueName="[programmazione].[ID PROGRAMMAZIONE].[All]" allUniqueName="[programmazione].[ID PROGRAMMAZIONE].[All]" dimensionUniqueName="[programmazione]" displayFolder="" count="0" memberValueDatatype="130" unbalanced="0"/>
    <cacheHierarchy uniqueName="[programmazione].[ID CORSO]" caption="ID CORSO" attribute="1" defaultMemberUniqueName="[programmazione].[ID CORSO].[All]" allUniqueName="[programmazione].[ID CORSO].[All]" dimensionUniqueName="[programmazione]" displayFolder="" count="0" memberValueDatatype="130" unbalanced="0"/>
    <cacheHierarchy uniqueName="[programmazione].[ID DOCENTE]" caption="ID DOCENTE" attribute="1" defaultMemberUniqueName="[programmazione].[ID DOCENTE].[All]" allUniqueName="[programmazione].[ID DOCENTE].[All]" dimensionUniqueName="[programmazione]" displayFolder="" count="2" memberValueDatatype="130" unbalanced="0">
      <fieldsUsage count="2">
        <fieldUsage x="-1"/>
        <fieldUsage x="4"/>
      </fieldsUsage>
    </cacheHierarchy>
    <cacheHierarchy uniqueName="[programmazione].[ID SEDE]" caption="ID SEDE" attribute="1" defaultMemberUniqueName="[programmazione].[ID SEDE].[All]" allUniqueName="[programmazione].[ID SEDE].[All]" dimensionUniqueName="[programmazione]" displayFolder="" count="0" memberValueDatatype="130" unbalanced="0"/>
    <cacheHierarchy uniqueName="[programmazione].[DATA INIZIO]" caption="DATA INIZIO" attribute="1" time="1" defaultMemberUniqueName="[programmazione].[DATA INIZIO].[All]" allUniqueName="[programmazione].[DATA INIZIO].[All]" dimensionUniqueName="[programmazione]" displayFolder="" count="0" memberValueDatatype="7" unbalanced="0"/>
    <cacheHierarchy uniqueName="[programmazione].[DATA FINE]" caption="DATA FINE" attribute="1" time="1" defaultMemberUniqueName="[programmazione].[DATA FINE].[All]" allUniqueName="[programmazione].[DATA FINE].[All]" dimensionUniqueName="[programmazione]" displayFolder="" count="0" memberValueDatatype="7" unbalanced="0"/>
    <cacheHierarchy uniqueName="[programmazione].[ORE]" caption="ORE" attribute="1" defaultMemberUniqueName="[programmazione].[ORE].[All]" allUniqueName="[programmazione].[ORE].[All]" dimensionUniqueName="[programmazione]" displayFolder="" count="0" memberValueDatatype="20" unbalanced="0"/>
    <cacheHierarchy uniqueName="[programmazione].[FATTURATO CORSO]" caption="FATTURATO CORSO" attribute="1" defaultMemberUniqueName="[programmazione].[FATTURATO CORSO].[All]" allUniqueName="[programmazione].[FATTURATO CORSO].[All]" dimensionUniqueName="[programmazione]" displayFolder="" count="0" memberValueDatatype="20" unbalanced="0"/>
    <cacheHierarchy uniqueName="[programmazione].[DATA INIZIO (mese)]" caption="DATA INIZIO (mese)" attribute="1" defaultMemberUniqueName="[programmazione].[DATA INIZIO (mese)].[All]" allUniqueName="[programmazione].[DATA INIZIO (mese)].[All]" dimensionUniqueName="[programmazione]" displayFolder="" count="0" memberValueDatatype="130" unbalanced="0"/>
    <cacheHierarchy uniqueName="[sedi].[ID SEDE]" caption="ID SEDE" attribute="1" defaultMemberUniqueName="[sedi].[ID SEDE].[All]" allUniqueName="[sedi].[ID SEDE].[All]" dimensionUniqueName="[sedi]" displayFolder="" count="0" memberValueDatatype="130" unbalanced="0"/>
    <cacheHierarchy uniqueName="[sedi].[DENOMINAZIONE]" caption="DENOMINAZIONE" attribute="1" defaultMemberUniqueName="[sedi].[DENOMINAZIONE].[All]" allUniqueName="[sedi].[DENOMINAZIONE].[All]" dimensionUniqueName="[sedi]" displayFolder="" count="0" memberValueDatatype="130" unbalanced="0"/>
    <cacheHierarchy uniqueName="[sedi].[CITTA']" caption="CITTA'" attribute="1" defaultMemberUniqueName="[sedi].[CITTA'].[All]" allUniqueName="[sedi].[CITTA'].[All]" dimensionUniqueName="[sedi]" displayFolder="" count="0" memberValueDatatype="130" unbalanced="0"/>
    <cacheHierarchy uniqueName="[sedi].[INDIRIZZO]" caption="INDIRIZZO" attribute="1" defaultMemberUniqueName="[sedi].[INDIRIZZO].[All]" allUniqueName="[sedi].[INDIRIZZO].[All]" dimensionUniqueName="[sedi]" displayFolder="" count="0" memberValueDatatype="130" unbalanced="0"/>
    <cacheHierarchy uniqueName="[sedi].[CAPIENZA]" caption="CAPIENZA" attribute="1" defaultMemberUniqueName="[sedi].[CAPIENZA].[All]" allUniqueName="[sedi].[CAPIENZA].[All]" dimensionUniqueName="[sedi]" displayFolder="" count="0" memberValueDatatype="20" unbalanced="0"/>
    <cacheHierarchy uniqueName="[programmazione].[DATA INIZIO (indice mese)]" caption="DATA INIZIO (indice mese)" attribute="1" defaultMemberUniqueName="[programmazione].[DATA INIZIO (indice mese)].[All]" allUniqueName="[programmazione].[DATA INIZIO (indice mese)].[All]" dimensionUniqueName="[programmazione]" displayFolder="" count="0" memberValueDatatype="20" unbalanced="0" hidden="1"/>
    <cacheHierarchy uniqueName="[Measures].[__XL_Count Tabella1]" caption="__XL_Count Tabella1" measure="1" displayFolder="" measureGroup="sedi" count="0" hidden="1"/>
    <cacheHierarchy uniqueName="[Measures].[__XL_Count Tabella3]" caption="__XL_Count Tabella3" measure="1" displayFolder="" measureGroup="corsi" count="0" hidden="1"/>
    <cacheHierarchy uniqueName="[Measures].[__XL_Count Tabella4]" caption="__XL_Count Tabella4" measure="1" displayFolder="" measureGroup="docenti" count="0" hidden="1"/>
    <cacheHierarchy uniqueName="[Measures].[__XL_Count Tabella5]" caption="__XL_Count Tabella5" measure="1" displayFolder="" measureGroup="programmazione" count="0" hidden="1"/>
    <cacheHierarchy uniqueName="[Measures].[__No measures defined]" caption="__No measures defined" measure="1" displayFolder="" count="0" hidden="1"/>
    <cacheHierarchy uniqueName="[Measures].[Somma di PREZZO]" caption="Somma di PREZZO" measure="1" displayFolder="" measureGroup="corsi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eggio di PREZZO]" caption="Conteggio di PREZZO" measure="1" displayFolder="" measureGroup="cors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Massimo di PREZZO]" caption="Massimo di PREZZO" measure="1" displayFolder="" measureGroup="cors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Media di PREZZO]" caption="Media di PREZZO" measure="1" displayFolder="" measureGroup="cors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a di ORE]" caption="Somma di ORE" measure="1" displayFolder="" measureGroup="corsi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eggio di ORE]" caption="Conteggio di ORE" measure="1" displayFolder="" measureGroup="cors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Distinct Count di ORE]" caption="Distinct Count di ORE" measure="1" displayFolder="" measureGroup="cors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omma di CAPIENZA]" caption="Somma di CAPIENZA" measure="1" displayFolder="" measureGroup="sedi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Conteggio di CAPIENZA]" caption="Conteggio di CAPIENZA" measure="1" displayFolder="" measureGroup="sedi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Dev. standard di CAPIENZA]" caption="Dev. standard di CAPIENZA" measure="1" displayFolder="" measureGroup="sedi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Distinct Count di CAPIENZA]" caption="Distinct Count di CAPIENZA" measure="1" displayFolder="" measureGroup="sedi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Massimo di CAPIENZA]" caption="Massimo di CAPIENZA" measure="1" displayFolder="" measureGroup="sedi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Varianza di ORE]" caption="Varianza di ORE" measure="1" displayFolder="" measureGroup="cors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Massimo di ORE]" caption="Massimo di ORE" measure="1" displayFolder="" measureGroup="cors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eggio di DATA INIZIO]" caption="Conteggio di DATA INIZIO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Conteggio di DATA FINE]" caption="Conteggio di DATA FINE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Distinct Count di DATA INIZIO]" caption="Distinct Count di DATA INIZIO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ma di ORE 2]" caption="Somma di ORE 2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nteggio di ID DOCENTE]" caption="Conteggio di ID DOCENTE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eggio di MATERIA]" caption="Conteggio di MATERIA" measure="1" displayFolder="" measureGroup="docenti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a di COSTO TOTALE]" caption="Somma di COSTO TOTALE" measure="1" displayFolder="" measureGroup="corsi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FATTURATO CORSO]" caption="Sum of FATTURATO CORSO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</cacheHierarchies>
  <kpis count="0"/>
  <dimensions count="5">
    <dimension name="corsi" uniqueName="[corsi]" caption="corsi"/>
    <dimension name="docenti" uniqueName="[docenti]" caption="docenti"/>
    <dimension measure="1" name="Measures" uniqueName="[Measures]" caption="Measures"/>
    <dimension name="programmazione" uniqueName="[programmazione]" caption="programmazione"/>
    <dimension name="sedi" uniqueName="[sedi]" caption="sedi"/>
  </dimensions>
  <measureGroups count="4">
    <measureGroup name="corsi" caption="corsi"/>
    <measureGroup name="docenti" caption="docenti"/>
    <measureGroup name="programmazione" caption="programmazione"/>
    <measureGroup name="sedi" caption="sedi"/>
  </measureGroups>
  <maps count="7">
    <map measureGroup="0" dimension="0"/>
    <map measureGroup="1" dimension="1"/>
    <map measureGroup="2" dimension="0"/>
    <map measureGroup="2" dimension="1"/>
    <map measureGroup="2" dimension="3"/>
    <map measureGroup="2" dimension="4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Giuseppe d'Amico" refreshedDate="45020.770375462962" createdVersion="5" refreshedVersion="8" minRefreshableVersion="3" recordCount="0" supportSubquery="1" supportAdvancedDrill="1" xr:uid="{26AAFC5D-529C-4B3D-86F5-E77128AE5739}">
  <cacheSource type="external" connectionId="1"/>
  <cacheFields count="7">
    <cacheField name="[Measures].[Sum of FATTURATO CORSO]" caption="Sum of FATTURATO CORSO" numFmtId="0" hierarchy="54" level="32767"/>
    <cacheField name="[sedi].[CITTA'].[CITTA']" caption="CITTA'" numFmtId="0" hierarchy="24" level="1">
      <sharedItems containsNonDate="0" containsString="0" containsBlank="1" count="1">
        <m/>
      </sharedItems>
    </cacheField>
    <cacheField name="[programmazione].[ID DOCENTE].[ID DOCENTE]" caption="ID DOCENTE" numFmtId="0" hierarchy="15" level="1">
      <sharedItems count="16">
        <s v="ALBERT EINSTEIN"/>
        <s v="ALESSANDRA GUERRIERO"/>
        <s v="ANDREA PORTANOVA"/>
        <s v="CHIARA RAPELLI"/>
        <s v="DANTE ALIGHIERI"/>
        <s v="ENZA LOSAPPIO"/>
        <s v="FRANCA DE BELLIS"/>
        <s v="FRANCESCO IPPOLITO"/>
        <s v="GIULIA VOCINO"/>
        <s v="ISAAC NEWTON"/>
        <s v="JOHN WATSON"/>
        <s v="LEONARDO FIBONACCI"/>
        <s v="MARIA CHIARA BIONDI"/>
        <s v="NICOLO' COPERNICO"/>
        <s v="NIKOLA TESLA"/>
        <s v="SIMONA REALE"/>
      </sharedItems>
    </cacheField>
    <cacheField name="[corsi].[MATERIA].[MATERIA]" caption="MATERIA" numFmtId="0" hierarchy="2" level="1">
      <sharedItems containsSemiMixedTypes="0" containsNonDate="0" containsString="0"/>
    </cacheField>
    <cacheField name="[corsi].[PREZZO].[PREZZO]" caption="PREZZO" numFmtId="0" hierarchy="3" level="1">
      <sharedItems containsSemiMixedTypes="0" containsNonDate="0" containsString="0"/>
    </cacheField>
    <cacheField name="[corsi].[COSTO TOTALE].[COSTO TOTALE]" caption="COSTO TOTALE" numFmtId="0" hierarchy="5" level="1">
      <sharedItems containsSemiMixedTypes="0" containsNonDate="0" containsString="0"/>
    </cacheField>
    <cacheField name="[corsi].[ORE].[ORE]" caption="ORE" numFmtId="0" hierarchy="4" level="1">
      <sharedItems containsSemiMixedTypes="0" containsNonDate="0" containsString="0"/>
    </cacheField>
  </cacheFields>
  <cacheHierarchies count="55">
    <cacheHierarchy uniqueName="[corsi].[ID CORSO]" caption="ID CORSO" attribute="1" defaultMemberUniqueName="[corsi].[ID CORSO].[All]" allUniqueName="[corsi].[ID CORSO].[All]" dimensionUniqueName="[corsi]" displayFolder="" count="0" memberValueDatatype="130" unbalanced="0"/>
    <cacheHierarchy uniqueName="[corsi].[TITOLO]" caption="TITOLO" attribute="1" defaultMemberUniqueName="[corsi].[TITOLO].[All]" allUniqueName="[corsi].[TITOLO].[All]" dimensionUniqueName="[corsi]" displayFolder="" count="0" memberValueDatatype="130" unbalanced="0"/>
    <cacheHierarchy uniqueName="[corsi].[MATERIA]" caption="MATERIA" attribute="1" defaultMemberUniqueName="[corsi].[MATERIA].[All]" allUniqueName="[corsi].[MATERIA].[All]" dimensionUniqueName="[corsi]" displayFolder="" count="2" memberValueDatatype="130" unbalanced="0">
      <fieldsUsage count="2">
        <fieldUsage x="-1"/>
        <fieldUsage x="3"/>
      </fieldsUsage>
    </cacheHierarchy>
    <cacheHierarchy uniqueName="[corsi].[PREZZO]" caption="PREZZO" attribute="1" defaultMemberUniqueName="[corsi].[PREZZO].[All]" allUniqueName="[corsi].[PREZZO].[All]" dimensionUniqueName="[corsi]" displayFolder="" count="2" memberValueDatatype="20" unbalanced="0">
      <fieldsUsage count="2">
        <fieldUsage x="-1"/>
        <fieldUsage x="4"/>
      </fieldsUsage>
    </cacheHierarchy>
    <cacheHierarchy uniqueName="[corsi].[ORE]" caption="ORE" attribute="1" defaultMemberUniqueName="[corsi].[ORE].[All]" allUniqueName="[corsi].[ORE].[All]" dimensionUniqueName="[corsi]" displayFolder="" count="2" memberValueDatatype="20" unbalanced="0">
      <fieldsUsage count="2">
        <fieldUsage x="-1"/>
        <fieldUsage x="6"/>
      </fieldsUsage>
    </cacheHierarchy>
    <cacheHierarchy uniqueName="[corsi].[COSTO TOTALE]" caption="COSTO TOTALE" attribute="1" defaultMemberUniqueName="[corsi].[COSTO TOTALE].[All]" allUniqueName="[corsi].[COSTO TOTALE].[All]" dimensionUniqueName="[corsi]" displayFolder="" count="2" memberValueDatatype="20" unbalanced="0">
      <fieldsUsage count="2">
        <fieldUsage x="-1"/>
        <fieldUsage x="5"/>
      </fieldsUsage>
    </cacheHierarchy>
    <cacheHierarchy uniqueName="[docenti].[ID DOCENTE]" caption="ID DOCENTE" attribute="1" defaultMemberUniqueName="[docenti].[ID DOCENTE].[All]" allUniqueName="[docenti].[ID DOCENTE].[All]" dimensionUniqueName="[docenti]" displayFolder="" count="0" memberValueDatatype="130" unbalanced="0"/>
    <cacheHierarchy uniqueName="[docenti].[NOME]" caption="NOME" attribute="1" defaultMemberUniqueName="[docenti].[NOME].[All]" allUniqueName="[docenti].[NOME].[All]" dimensionUniqueName="[docenti]" displayFolder="" count="0" memberValueDatatype="130" unbalanced="0"/>
    <cacheHierarchy uniqueName="[docenti].[COGNOME]" caption="COGNOME" attribute="1" defaultMemberUniqueName="[docenti].[COGNOME].[All]" allUniqueName="[docenti].[COGNOME].[All]" dimensionUniqueName="[docenti]" displayFolder="" count="0" memberValueDatatype="130" unbalanced="0"/>
    <cacheHierarchy uniqueName="[docenti].[DATA DI NASCITA]" caption="DATA DI NASCITA" attribute="1" time="1" defaultMemberUniqueName="[docenti].[DATA DI NASCITA].[All]" allUniqueName="[docenti].[DATA DI NASCITA].[All]" dimensionUniqueName="[docenti]" displayFolder="" count="0" memberValueDatatype="7" unbalanced="0"/>
    <cacheHierarchy uniqueName="[docenti].[CITTA' DI RESIDENZA]" caption="CITTA' DI RESIDENZA" attribute="1" defaultMemberUniqueName="[docenti].[CITTA' DI RESIDENZA].[All]" allUniqueName="[docenti].[CITTA' DI RESIDENZA].[All]" dimensionUniqueName="[docenti]" displayFolder="" count="0" memberValueDatatype="130" unbalanced="0"/>
    <cacheHierarchy uniqueName="[docenti].[MATERIA]" caption="MATERIA" attribute="1" defaultMemberUniqueName="[docenti].[MATERIA].[All]" allUniqueName="[docenti].[MATERIA].[All]" dimensionUniqueName="[docenti]" displayFolder="" count="0" memberValueDatatype="130" unbalanced="0"/>
    <cacheHierarchy uniqueName="[docenti].[NOMINATIVO COMPLETO]" caption="NOMINATIVO COMPLETO" attribute="1" defaultMemberUniqueName="[docenti].[NOMINATIVO COMPLETO].[All]" allUniqueName="[docenti].[NOMINATIVO COMPLETO].[All]" dimensionUniqueName="[docenti]" displayFolder="" count="0" memberValueDatatype="130" unbalanced="0"/>
    <cacheHierarchy uniqueName="[programmazione].[ID PROGRAMMAZIONE]" caption="ID PROGRAMMAZIONE" attribute="1" defaultMemberUniqueName="[programmazione].[ID PROGRAMMAZIONE].[All]" allUniqueName="[programmazione].[ID PROGRAMMAZIONE].[All]" dimensionUniqueName="[programmazione]" displayFolder="" count="0" memberValueDatatype="130" unbalanced="0"/>
    <cacheHierarchy uniqueName="[programmazione].[ID CORSO]" caption="ID CORSO" attribute="1" defaultMemberUniqueName="[programmazione].[ID CORSO].[All]" allUniqueName="[programmazione].[ID CORSO].[All]" dimensionUniqueName="[programmazione]" displayFolder="" count="0" memberValueDatatype="130" unbalanced="0"/>
    <cacheHierarchy uniqueName="[programmazione].[ID DOCENTE]" caption="ID DOCENTE" attribute="1" defaultMemberUniqueName="[programmazione].[ID DOCENTE].[All]" allUniqueName="[programmazione].[ID DOCENTE].[All]" dimensionUniqueName="[programmazione]" displayFolder="" count="2" memberValueDatatype="130" unbalanced="0">
      <fieldsUsage count="2">
        <fieldUsage x="-1"/>
        <fieldUsage x="2"/>
      </fieldsUsage>
    </cacheHierarchy>
    <cacheHierarchy uniqueName="[programmazione].[ID SEDE]" caption="ID SEDE" attribute="1" defaultMemberUniqueName="[programmazione].[ID SEDE].[All]" allUniqueName="[programmazione].[ID SEDE].[All]" dimensionUniqueName="[programmazione]" displayFolder="" count="0" memberValueDatatype="130" unbalanced="0"/>
    <cacheHierarchy uniqueName="[programmazione].[DATA INIZIO]" caption="DATA INIZIO" attribute="1" time="1" defaultMemberUniqueName="[programmazione].[DATA INIZIO].[All]" allUniqueName="[programmazione].[DATA INIZIO].[All]" dimensionUniqueName="[programmazione]" displayFolder="" count="0" memberValueDatatype="7" unbalanced="0"/>
    <cacheHierarchy uniqueName="[programmazione].[DATA FINE]" caption="DATA FINE" attribute="1" time="1" defaultMemberUniqueName="[programmazione].[DATA FINE].[All]" allUniqueName="[programmazione].[DATA FINE].[All]" dimensionUniqueName="[programmazione]" displayFolder="" count="0" memberValueDatatype="7" unbalanced="0"/>
    <cacheHierarchy uniqueName="[programmazione].[ORE]" caption="ORE" attribute="1" defaultMemberUniqueName="[programmazione].[ORE].[All]" allUniqueName="[programmazione].[ORE].[All]" dimensionUniqueName="[programmazione]" displayFolder="" count="0" memberValueDatatype="20" unbalanced="0"/>
    <cacheHierarchy uniqueName="[programmazione].[FATTURATO CORSO]" caption="FATTURATO CORSO" attribute="1" defaultMemberUniqueName="[programmazione].[FATTURATO CORSO].[All]" allUniqueName="[programmazione].[FATTURATO CORSO].[All]" dimensionUniqueName="[programmazione]" displayFolder="" count="0" memberValueDatatype="20" unbalanced="0"/>
    <cacheHierarchy uniqueName="[programmazione].[DATA INIZIO (mese)]" caption="DATA INIZIO (mese)" attribute="1" defaultMemberUniqueName="[programmazione].[DATA INIZIO (mese)].[All]" allUniqueName="[programmazione].[DATA INIZIO (mese)].[All]" dimensionUniqueName="[programmazione]" displayFolder="" count="0" memberValueDatatype="130" unbalanced="0"/>
    <cacheHierarchy uniqueName="[sedi].[ID SEDE]" caption="ID SEDE" attribute="1" defaultMemberUniqueName="[sedi].[ID SEDE].[All]" allUniqueName="[sedi].[ID SEDE].[All]" dimensionUniqueName="[sedi]" displayFolder="" count="0" memberValueDatatype="130" unbalanced="0"/>
    <cacheHierarchy uniqueName="[sedi].[DENOMINAZIONE]" caption="DENOMINAZIONE" attribute="1" defaultMemberUniqueName="[sedi].[DENOMINAZIONE].[All]" allUniqueName="[sedi].[DENOMINAZIONE].[All]" dimensionUniqueName="[sedi]" displayFolder="" count="0" memberValueDatatype="130" unbalanced="0"/>
    <cacheHierarchy uniqueName="[sedi].[CITTA']" caption="CITTA'" attribute="1" defaultMemberUniqueName="[sedi].[CITTA'].[All]" allUniqueName="[sedi].[CITTA'].[All]" dimensionUniqueName="[sedi]" displayFolder="" count="2" memberValueDatatype="130" unbalanced="0">
      <fieldsUsage count="2">
        <fieldUsage x="-1"/>
        <fieldUsage x="1"/>
      </fieldsUsage>
    </cacheHierarchy>
    <cacheHierarchy uniqueName="[sedi].[INDIRIZZO]" caption="INDIRIZZO" attribute="1" defaultMemberUniqueName="[sedi].[INDIRIZZO].[All]" allUniqueName="[sedi].[INDIRIZZO].[All]" dimensionUniqueName="[sedi]" displayFolder="" count="0" memberValueDatatype="130" unbalanced="0"/>
    <cacheHierarchy uniqueName="[sedi].[CAPIENZA]" caption="CAPIENZA" attribute="1" defaultMemberUniqueName="[sedi].[CAPIENZA].[All]" allUniqueName="[sedi].[CAPIENZA].[All]" dimensionUniqueName="[sedi]" displayFolder="" count="0" memberValueDatatype="20" unbalanced="0"/>
    <cacheHierarchy uniqueName="[programmazione].[DATA INIZIO (indice mese)]" caption="DATA INIZIO (indice mese)" attribute="1" defaultMemberUniqueName="[programmazione].[DATA INIZIO (indice mese)].[All]" allUniqueName="[programmazione].[DATA INIZIO (indice mese)].[All]" dimensionUniqueName="[programmazione]" displayFolder="" count="0" memberValueDatatype="20" unbalanced="0" hidden="1"/>
    <cacheHierarchy uniqueName="[Measures].[__XL_Count Tabella1]" caption="__XL_Count Tabella1" measure="1" displayFolder="" measureGroup="sedi" count="0" hidden="1"/>
    <cacheHierarchy uniqueName="[Measures].[__XL_Count Tabella3]" caption="__XL_Count Tabella3" measure="1" displayFolder="" measureGroup="corsi" count="0" hidden="1"/>
    <cacheHierarchy uniqueName="[Measures].[__XL_Count Tabella4]" caption="__XL_Count Tabella4" measure="1" displayFolder="" measureGroup="docenti" count="0" hidden="1"/>
    <cacheHierarchy uniqueName="[Measures].[__XL_Count Tabella5]" caption="__XL_Count Tabella5" measure="1" displayFolder="" measureGroup="programmazione" count="0" hidden="1"/>
    <cacheHierarchy uniqueName="[Measures].[__No measures defined]" caption="__No measures defined" measure="1" displayFolder="" count="0" hidden="1"/>
    <cacheHierarchy uniqueName="[Measures].[Somma di PREZZO]" caption="Somma di PREZZO" measure="1" displayFolder="" measureGroup="cors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eggio di PREZZO]" caption="Conteggio di PREZZO" measure="1" displayFolder="" measureGroup="cors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Massimo di PREZZO]" caption="Massimo di PREZZO" measure="1" displayFolder="" measureGroup="cors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Media di PREZZO]" caption="Media di PREZZO" measure="1" displayFolder="" measureGroup="cors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a di ORE]" caption="Somma di ORE" measure="1" displayFolder="" measureGroup="cors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eggio di ORE]" caption="Conteggio di ORE" measure="1" displayFolder="" measureGroup="cors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Distinct Count di ORE]" caption="Distinct Count di ORE" measure="1" displayFolder="" measureGroup="cors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omma di CAPIENZA]" caption="Somma di CAPIENZA" measure="1" displayFolder="" measureGroup="sedi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Conteggio di CAPIENZA]" caption="Conteggio di CAPIENZA" measure="1" displayFolder="" measureGroup="sedi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Dev. standard di CAPIENZA]" caption="Dev. standard di CAPIENZA" measure="1" displayFolder="" measureGroup="sedi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Distinct Count di CAPIENZA]" caption="Distinct Count di CAPIENZA" measure="1" displayFolder="" measureGroup="sedi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Massimo di CAPIENZA]" caption="Massimo di CAPIENZA" measure="1" displayFolder="" measureGroup="sedi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Varianza di ORE]" caption="Varianza di ORE" measure="1" displayFolder="" measureGroup="cors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Massimo di ORE]" caption="Massimo di ORE" measure="1" displayFolder="" measureGroup="cors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eggio di DATA INIZIO]" caption="Conteggio di DATA INIZIO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Conteggio di DATA FINE]" caption="Conteggio di DATA FINE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Distinct Count di DATA INIZIO]" caption="Distinct Count di DATA INIZIO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ma di ORE 2]" caption="Somma di ORE 2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nteggio di ID DOCENTE]" caption="Conteggio di ID DOCENTE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eggio di MATERIA]" caption="Conteggio di MATERIA" measure="1" displayFolder="" measureGroup="docenti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a di COSTO TOTALE]" caption="Somma di COSTO TOTALE" measure="1" displayFolder="" measureGroup="corsi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FATTURATO CORSO]" caption="Sum of FATTURATO CORSO" measure="1" displayFolder="" measureGroup="programmazione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20"/>
        </ext>
      </extLst>
    </cacheHierarchy>
  </cacheHierarchies>
  <kpis count="0"/>
  <dimensions count="5">
    <dimension name="corsi" uniqueName="[corsi]" caption="corsi"/>
    <dimension name="docenti" uniqueName="[docenti]" caption="docenti"/>
    <dimension measure="1" name="Measures" uniqueName="[Measures]" caption="Measures"/>
    <dimension name="programmazione" uniqueName="[programmazione]" caption="programmazione"/>
    <dimension name="sedi" uniqueName="[sedi]" caption="sedi"/>
  </dimensions>
  <measureGroups count="4">
    <measureGroup name="corsi" caption="corsi"/>
    <measureGroup name="docenti" caption="docenti"/>
    <measureGroup name="programmazione" caption="programmazione"/>
    <measureGroup name="sedi" caption="sedi"/>
  </measureGroups>
  <maps count="7">
    <map measureGroup="0" dimension="0"/>
    <map measureGroup="1" dimension="1"/>
    <map measureGroup="2" dimension="0"/>
    <map measureGroup="2" dimension="1"/>
    <map measureGroup="2" dimension="3"/>
    <map measureGroup="2" dimension="4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Giuseppe d'Amico" refreshedDate="45020.770380208334" createdVersion="5" refreshedVersion="8" minRefreshableVersion="3" recordCount="0" supportSubquery="1" supportAdvancedDrill="1" xr:uid="{680CA8A2-9B58-4320-ABA1-131CE1938934}">
  <cacheSource type="external" connectionId="1"/>
  <cacheFields count="11">
    <cacheField name="[programmazione].[ID DOCENTE].[ID DOCENTE]" caption="ID DOCENTE" numFmtId="0" hierarchy="15" level="1">
      <sharedItems count="16">
        <s v="ALBERT EINSTEIN"/>
        <s v="ALESSANDRA GUERRIERO"/>
        <s v="ANDREA PORTANOVA"/>
        <s v="CHIARA RAPELLI"/>
        <s v="DANTE ALIGHIERI"/>
        <s v="ENZA LOSAPPIO"/>
        <s v="FRANCA DE BELLIS"/>
        <s v="FRANCESCO IPPOLITO"/>
        <s v="GIULIA VOCINO"/>
        <s v="ISAAC NEWTON"/>
        <s v="JOHN WATSON"/>
        <s v="LEONARDO FIBONACCI"/>
        <s v="MARIA CHIARA BIONDI"/>
        <s v="NICOLO' COPERNICO"/>
        <s v="NIKOLA TESLA"/>
        <s v="SIMONA REALE"/>
      </sharedItems>
    </cacheField>
    <cacheField name="[programmazione].[DATA INIZIO].[DATA INIZIO]" caption="DATA INIZIO" numFmtId="0" hierarchy="17" level="1">
      <sharedItems containsSemiMixedTypes="0" containsNonDate="0" containsDate="1" containsString="0" minDate="2023-04-03T00:00:00" maxDate="2023-06-07T00:00:00" count="12">
        <d v="2023-04-03T00:00:00"/>
        <d v="2023-04-05T00:00:00"/>
        <d v="2023-04-12T00:00:00"/>
        <d v="2023-04-16T00:00:00"/>
        <d v="2023-05-01T00:00:00"/>
        <d v="2023-05-04T00:00:00"/>
        <d v="2023-05-07T00:00:00"/>
        <d v="2023-05-09T00:00:00"/>
        <d v="2023-05-13T00:00:00"/>
        <d v="2023-05-19T00:00:00"/>
        <d v="2023-06-04T00:00:00"/>
        <d v="2023-06-06T00:00:00"/>
      </sharedItems>
    </cacheField>
    <cacheField name="[programmazione].[DATA INIZIO (mese)].[DATA INIZIO (mese)]" caption="DATA INIZIO (mese)" numFmtId="0" hierarchy="21" level="1">
      <sharedItems count="3">
        <s v="apr"/>
        <s v="mag"/>
        <s v="giu"/>
      </sharedItems>
    </cacheField>
    <cacheField name="[programmazione].[DATA FINE].[DATA FINE]" caption="DATA FINE" numFmtId="0" hierarchy="18" level="1">
      <sharedItems containsSemiMixedTypes="0" containsNonDate="0" containsString="0"/>
    </cacheField>
    <cacheField name="[Measures].[Somma di ORE 2]" caption="Somma di ORE 2" numFmtId="0" hierarchy="50" level="32767"/>
    <cacheField name="[programmazione].[FATTURATO CORSO].[FATTURATO CORSO]" caption="FATTURATO CORSO" numFmtId="0" hierarchy="20" level="1">
      <sharedItems containsSemiMixedTypes="0" containsNonDate="0" containsString="0"/>
    </cacheField>
    <cacheField name="[corsi].[MATERIA].[MATERIA]" caption="MATERIA" numFmtId="0" hierarchy="2" level="1">
      <sharedItems containsSemiMixedTypes="0" containsNonDate="0" containsString="0"/>
    </cacheField>
    <cacheField name="[corsi].[PREZZO].[PREZZO]" caption="PREZZO" numFmtId="0" hierarchy="3" level="1">
      <sharedItems containsSemiMixedTypes="0" containsNonDate="0" containsString="0"/>
    </cacheField>
    <cacheField name="[corsi].[COSTO TOTALE].[COSTO TOTALE]" caption="COSTO TOTALE" numFmtId="0" hierarchy="5" level="1">
      <sharedItems containsSemiMixedTypes="0" containsNonDate="0" containsString="0"/>
    </cacheField>
    <cacheField name="[corsi].[ORE].[ORE]" caption="ORE" numFmtId="0" hierarchy="4" level="1">
      <sharedItems containsSemiMixedTypes="0" containsNonDate="0" containsString="0"/>
    </cacheField>
    <cacheField name="[programmazione].[ORE].[ORE]" caption="ORE" numFmtId="0" hierarchy="19" level="1">
      <sharedItems containsSemiMixedTypes="0" containsNonDate="0" containsString="0"/>
    </cacheField>
  </cacheFields>
  <cacheHierarchies count="55">
    <cacheHierarchy uniqueName="[corsi].[ID CORSO]" caption="ID CORSO" attribute="1" defaultMemberUniqueName="[corsi].[ID CORSO].[All]" allUniqueName="[corsi].[ID CORSO].[All]" dimensionUniqueName="[corsi]" displayFolder="" count="0" memberValueDatatype="130" unbalanced="0"/>
    <cacheHierarchy uniqueName="[corsi].[TITOLO]" caption="TITOLO" attribute="1" defaultMemberUniqueName="[corsi].[TITOLO].[All]" allUniqueName="[corsi].[TITOLO].[All]" dimensionUniqueName="[corsi]" displayFolder="" count="0" memberValueDatatype="130" unbalanced="0"/>
    <cacheHierarchy uniqueName="[corsi].[MATERIA]" caption="MATERIA" attribute="1" defaultMemberUniqueName="[corsi].[MATERIA].[All]" allUniqueName="[corsi].[MATERIA].[All]" dimensionUniqueName="[corsi]" displayFolder="" count="2" memberValueDatatype="130" unbalanced="0">
      <fieldsUsage count="2">
        <fieldUsage x="-1"/>
        <fieldUsage x="6"/>
      </fieldsUsage>
    </cacheHierarchy>
    <cacheHierarchy uniqueName="[corsi].[PREZZO]" caption="PREZZO" attribute="1" defaultMemberUniqueName="[corsi].[PREZZO].[All]" allUniqueName="[corsi].[PREZZO].[All]" dimensionUniqueName="[corsi]" displayFolder="" count="2" memberValueDatatype="20" unbalanced="0">
      <fieldsUsage count="2">
        <fieldUsage x="-1"/>
        <fieldUsage x="7"/>
      </fieldsUsage>
    </cacheHierarchy>
    <cacheHierarchy uniqueName="[corsi].[ORE]" caption="ORE" attribute="1" defaultMemberUniqueName="[corsi].[ORE].[All]" allUniqueName="[corsi].[ORE].[All]" dimensionUniqueName="[corsi]" displayFolder="" count="2" memberValueDatatype="20" unbalanced="0">
      <fieldsUsage count="2">
        <fieldUsage x="-1"/>
        <fieldUsage x="9"/>
      </fieldsUsage>
    </cacheHierarchy>
    <cacheHierarchy uniqueName="[corsi].[COSTO TOTALE]" caption="COSTO TOTALE" attribute="1" defaultMemberUniqueName="[corsi].[COSTO TOTALE].[All]" allUniqueName="[corsi].[COSTO TOTALE].[All]" dimensionUniqueName="[corsi]" displayFolder="" count="2" memberValueDatatype="20" unbalanced="0">
      <fieldsUsage count="2">
        <fieldUsage x="-1"/>
        <fieldUsage x="8"/>
      </fieldsUsage>
    </cacheHierarchy>
    <cacheHierarchy uniqueName="[docenti].[ID DOCENTE]" caption="ID DOCENTE" attribute="1" defaultMemberUniqueName="[docenti].[ID DOCENTE].[All]" allUniqueName="[docenti].[ID DOCENTE].[All]" dimensionUniqueName="[docenti]" displayFolder="" count="0" memberValueDatatype="130" unbalanced="0"/>
    <cacheHierarchy uniqueName="[docenti].[NOME]" caption="NOME" attribute="1" defaultMemberUniqueName="[docenti].[NOME].[All]" allUniqueName="[docenti].[NOME].[All]" dimensionUniqueName="[docenti]" displayFolder="" count="0" memberValueDatatype="130" unbalanced="0"/>
    <cacheHierarchy uniqueName="[docenti].[COGNOME]" caption="COGNOME" attribute="1" defaultMemberUniqueName="[docenti].[COGNOME].[All]" allUniqueName="[docenti].[COGNOME].[All]" dimensionUniqueName="[docenti]" displayFolder="" count="0" memberValueDatatype="130" unbalanced="0"/>
    <cacheHierarchy uniqueName="[docenti].[DATA DI NASCITA]" caption="DATA DI NASCITA" attribute="1" time="1" defaultMemberUniqueName="[docenti].[DATA DI NASCITA].[All]" allUniqueName="[docenti].[DATA DI NASCITA].[All]" dimensionUniqueName="[docenti]" displayFolder="" count="0" memberValueDatatype="7" unbalanced="0"/>
    <cacheHierarchy uniqueName="[docenti].[CITTA' DI RESIDENZA]" caption="CITTA' DI RESIDENZA" attribute="1" defaultMemberUniqueName="[docenti].[CITTA' DI RESIDENZA].[All]" allUniqueName="[docenti].[CITTA' DI RESIDENZA].[All]" dimensionUniqueName="[docenti]" displayFolder="" count="0" memberValueDatatype="130" unbalanced="0"/>
    <cacheHierarchy uniqueName="[docenti].[MATERIA]" caption="MATERIA" attribute="1" defaultMemberUniqueName="[docenti].[MATERIA].[All]" allUniqueName="[docenti].[MATERIA].[All]" dimensionUniqueName="[docenti]" displayFolder="" count="0" memberValueDatatype="130" unbalanced="0"/>
    <cacheHierarchy uniqueName="[docenti].[NOMINATIVO COMPLETO]" caption="NOMINATIVO COMPLETO" attribute="1" defaultMemberUniqueName="[docenti].[NOMINATIVO COMPLETO].[All]" allUniqueName="[docenti].[NOMINATIVO COMPLETO].[All]" dimensionUniqueName="[docenti]" displayFolder="" count="0" memberValueDatatype="130" unbalanced="0"/>
    <cacheHierarchy uniqueName="[programmazione].[ID PROGRAMMAZIONE]" caption="ID PROGRAMMAZIONE" attribute="1" defaultMemberUniqueName="[programmazione].[ID PROGRAMMAZIONE].[All]" allUniqueName="[programmazione].[ID PROGRAMMAZIONE].[All]" dimensionUniqueName="[programmazione]" displayFolder="" count="0" memberValueDatatype="130" unbalanced="0"/>
    <cacheHierarchy uniqueName="[programmazione].[ID CORSO]" caption="ID CORSO" attribute="1" defaultMemberUniqueName="[programmazione].[ID CORSO].[All]" allUniqueName="[programmazione].[ID CORSO].[All]" dimensionUniqueName="[programmazione]" displayFolder="" count="0" memberValueDatatype="130" unbalanced="0"/>
    <cacheHierarchy uniqueName="[programmazione].[ID DOCENTE]" caption="ID DOCENTE" attribute="1" defaultMemberUniqueName="[programmazione].[ID DOCENTE].[All]" allUniqueName="[programmazione].[ID DOCENTE].[All]" dimensionUniqueName="[programmazione]" displayFolder="" count="2" memberValueDatatype="130" unbalanced="0">
      <fieldsUsage count="2">
        <fieldUsage x="-1"/>
        <fieldUsage x="0"/>
      </fieldsUsage>
    </cacheHierarchy>
    <cacheHierarchy uniqueName="[programmazione].[ID SEDE]" caption="ID SEDE" attribute="1" defaultMemberUniqueName="[programmazione].[ID SEDE].[All]" allUniqueName="[programmazione].[ID SEDE].[All]" dimensionUniqueName="[programmazione]" displayFolder="" count="0" memberValueDatatype="130" unbalanced="0"/>
    <cacheHierarchy uniqueName="[programmazione].[DATA INIZIO]" caption="DATA INIZIO" attribute="1" time="1" defaultMemberUniqueName="[programmazione].[DATA INIZIO].[All]" allUniqueName="[programmazione].[DATA INIZIO].[All]" dimensionUniqueName="[programmazione]" displayFolder="" count="2" memberValueDatatype="7" unbalanced="0">
      <fieldsUsage count="2">
        <fieldUsage x="-1"/>
        <fieldUsage x="1"/>
      </fieldsUsage>
    </cacheHierarchy>
    <cacheHierarchy uniqueName="[programmazione].[DATA FINE]" caption="DATA FINE" attribute="1" time="1" defaultMemberUniqueName="[programmazione].[DATA FINE].[All]" allUniqueName="[programmazione].[DATA FINE].[All]" dimensionUniqueName="[programmazione]" displayFolder="" count="2" memberValueDatatype="7" unbalanced="0">
      <fieldsUsage count="2">
        <fieldUsage x="-1"/>
        <fieldUsage x="3"/>
      </fieldsUsage>
    </cacheHierarchy>
    <cacheHierarchy uniqueName="[programmazione].[ORE]" caption="ORE" attribute="1" defaultMemberUniqueName="[programmazione].[ORE].[All]" allUniqueName="[programmazione].[ORE].[All]" dimensionUniqueName="[programmazione]" displayFolder="" count="2" memberValueDatatype="20" unbalanced="0">
      <fieldsUsage count="2">
        <fieldUsage x="-1"/>
        <fieldUsage x="10"/>
      </fieldsUsage>
    </cacheHierarchy>
    <cacheHierarchy uniqueName="[programmazione].[FATTURATO CORSO]" caption="FATTURATO CORSO" attribute="1" defaultMemberUniqueName="[programmazione].[FATTURATO CORSO].[All]" allUniqueName="[programmazione].[FATTURATO CORSO].[All]" dimensionUniqueName="[programmazione]" displayFolder="" count="2" memberValueDatatype="20" unbalanced="0">
      <fieldsUsage count="2">
        <fieldUsage x="-1"/>
        <fieldUsage x="5"/>
      </fieldsUsage>
    </cacheHierarchy>
    <cacheHierarchy uniqueName="[programmazione].[DATA INIZIO (mese)]" caption="DATA INIZIO (mese)" attribute="1" defaultMemberUniqueName="[programmazione].[DATA INIZIO (mese)].[All]" allUniqueName="[programmazione].[DATA INIZIO (mese)].[All]" dimensionUniqueName="[programmazione]" displayFolder="" count="2" memberValueDatatype="130" unbalanced="0">
      <fieldsUsage count="2">
        <fieldUsage x="-1"/>
        <fieldUsage x="2"/>
      </fieldsUsage>
    </cacheHierarchy>
    <cacheHierarchy uniqueName="[sedi].[ID SEDE]" caption="ID SEDE" attribute="1" defaultMemberUniqueName="[sedi].[ID SEDE].[All]" allUniqueName="[sedi].[ID SEDE].[All]" dimensionUniqueName="[sedi]" displayFolder="" count="0" memberValueDatatype="130" unbalanced="0"/>
    <cacheHierarchy uniqueName="[sedi].[DENOMINAZIONE]" caption="DENOMINAZIONE" attribute="1" defaultMemberUniqueName="[sedi].[DENOMINAZIONE].[All]" allUniqueName="[sedi].[DENOMINAZIONE].[All]" dimensionUniqueName="[sedi]" displayFolder="" count="0" memberValueDatatype="130" unbalanced="0"/>
    <cacheHierarchy uniqueName="[sedi].[CITTA']" caption="CITTA'" attribute="1" defaultMemberUniqueName="[sedi].[CITTA'].[All]" allUniqueName="[sedi].[CITTA'].[All]" dimensionUniqueName="[sedi]" displayFolder="" count="0" memberValueDatatype="130" unbalanced="0"/>
    <cacheHierarchy uniqueName="[sedi].[INDIRIZZO]" caption="INDIRIZZO" attribute="1" defaultMemberUniqueName="[sedi].[INDIRIZZO].[All]" allUniqueName="[sedi].[INDIRIZZO].[All]" dimensionUniqueName="[sedi]" displayFolder="" count="0" memberValueDatatype="130" unbalanced="0"/>
    <cacheHierarchy uniqueName="[sedi].[CAPIENZA]" caption="CAPIENZA" attribute="1" defaultMemberUniqueName="[sedi].[CAPIENZA].[All]" allUniqueName="[sedi].[CAPIENZA].[All]" dimensionUniqueName="[sedi]" displayFolder="" count="0" memberValueDatatype="20" unbalanced="0"/>
    <cacheHierarchy uniqueName="[programmazione].[DATA INIZIO (indice mese)]" caption="DATA INIZIO (indice mese)" attribute="1" defaultMemberUniqueName="[programmazione].[DATA INIZIO (indice mese)].[All]" allUniqueName="[programmazione].[DATA INIZIO (indice mese)].[All]" dimensionUniqueName="[programmazione]" displayFolder="" count="0" memberValueDatatype="20" unbalanced="0" hidden="1"/>
    <cacheHierarchy uniqueName="[Measures].[__XL_Count Tabella1]" caption="__XL_Count Tabella1" measure="1" displayFolder="" measureGroup="sedi" count="0" hidden="1"/>
    <cacheHierarchy uniqueName="[Measures].[__XL_Count Tabella3]" caption="__XL_Count Tabella3" measure="1" displayFolder="" measureGroup="corsi" count="0" hidden="1"/>
    <cacheHierarchy uniqueName="[Measures].[__XL_Count Tabella4]" caption="__XL_Count Tabella4" measure="1" displayFolder="" measureGroup="docenti" count="0" hidden="1"/>
    <cacheHierarchy uniqueName="[Measures].[__XL_Count Tabella5]" caption="__XL_Count Tabella5" measure="1" displayFolder="" measureGroup="programmazione" count="0" hidden="1"/>
    <cacheHierarchy uniqueName="[Measures].[__No measures defined]" caption="__No measures defined" measure="1" displayFolder="" count="0" hidden="1"/>
    <cacheHierarchy uniqueName="[Measures].[Somma di PREZZO]" caption="Somma di PREZZO" measure="1" displayFolder="" measureGroup="cors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eggio di PREZZO]" caption="Conteggio di PREZZO" measure="1" displayFolder="" measureGroup="cors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Massimo di PREZZO]" caption="Massimo di PREZZO" measure="1" displayFolder="" measureGroup="cors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Media di PREZZO]" caption="Media di PREZZO" measure="1" displayFolder="" measureGroup="cors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a di ORE]" caption="Somma di ORE" measure="1" displayFolder="" measureGroup="cors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eggio di ORE]" caption="Conteggio di ORE" measure="1" displayFolder="" measureGroup="cors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Distinct Count di ORE]" caption="Distinct Count di ORE" measure="1" displayFolder="" measureGroup="cors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omma di CAPIENZA]" caption="Somma di CAPIENZA" measure="1" displayFolder="" measureGroup="sedi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Conteggio di CAPIENZA]" caption="Conteggio di CAPIENZA" measure="1" displayFolder="" measureGroup="sedi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Dev. standard di CAPIENZA]" caption="Dev. standard di CAPIENZA" measure="1" displayFolder="" measureGroup="sedi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Distinct Count di CAPIENZA]" caption="Distinct Count di CAPIENZA" measure="1" displayFolder="" measureGroup="sedi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Massimo di CAPIENZA]" caption="Massimo di CAPIENZA" measure="1" displayFolder="" measureGroup="sedi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Varianza di ORE]" caption="Varianza di ORE" measure="1" displayFolder="" measureGroup="cors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Massimo di ORE]" caption="Massimo di ORE" measure="1" displayFolder="" measureGroup="cors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eggio di DATA INIZIO]" caption="Conteggio di DATA INIZIO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Conteggio di DATA FINE]" caption="Conteggio di DATA FINE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Distinct Count di DATA INIZIO]" caption="Distinct Count di DATA INIZIO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ma di ORE 2]" caption="Somma di ORE 2" measure="1" displayFolder="" measureGroup="programmazione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nteggio di ID DOCENTE]" caption="Conteggio di ID DOCENTE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eggio di MATERIA]" caption="Conteggio di MATERIA" measure="1" displayFolder="" measureGroup="docenti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a di COSTO TOTALE]" caption="Somma di COSTO TOTALE" measure="1" displayFolder="" measureGroup="corsi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FATTURATO CORSO]" caption="Sum of FATTURATO CORSO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</cacheHierarchies>
  <kpis count="0"/>
  <dimensions count="5">
    <dimension name="corsi" uniqueName="[corsi]" caption="corsi"/>
    <dimension name="docenti" uniqueName="[docenti]" caption="docenti"/>
    <dimension measure="1" name="Measures" uniqueName="[Measures]" caption="Measures"/>
    <dimension name="programmazione" uniqueName="[programmazione]" caption="programmazione"/>
    <dimension name="sedi" uniqueName="[sedi]" caption="sedi"/>
  </dimensions>
  <measureGroups count="4">
    <measureGroup name="corsi" caption="corsi"/>
    <measureGroup name="docenti" caption="docenti"/>
    <measureGroup name="programmazione" caption="programmazione"/>
    <measureGroup name="sedi" caption="sedi"/>
  </measureGroups>
  <maps count="7">
    <map measureGroup="0" dimension="0"/>
    <map measureGroup="1" dimension="1"/>
    <map measureGroup="2" dimension="0"/>
    <map measureGroup="2" dimension="1"/>
    <map measureGroup="2" dimension="3"/>
    <map measureGroup="2" dimension="4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Giuseppe d'Amico" refreshedDate="45020.770383449075" createdVersion="5" refreshedVersion="8" minRefreshableVersion="3" recordCount="0" supportSubquery="1" supportAdvancedDrill="1" xr:uid="{605D4FFE-7559-48E1-8D87-0E4DCBF10986}">
  <cacheSource type="external" connectionId="1"/>
  <cacheFields count="9">
    <cacheField name="[programmazione].[ID DOCENTE].[ID DOCENTE]" caption="ID DOCENTE" numFmtId="0" hierarchy="15" level="1">
      <sharedItems count="16">
        <s v="ALBERT EINSTEIN"/>
        <s v="ALESSANDRA GUERRIERO"/>
        <s v="ANDREA PORTANOVA"/>
        <s v="CHIARA RAPELLI"/>
        <s v="DANTE ALIGHIERI"/>
        <s v="ENZA LOSAPPIO"/>
        <s v="FRANCA DE BELLIS"/>
        <s v="FRANCESCO IPPOLITO"/>
        <s v="GIULIA VOCINO"/>
        <s v="ISAAC NEWTON"/>
        <s v="JOHN WATSON"/>
        <s v="LEONARDO FIBONACCI"/>
        <s v="MARIA CHIARA BIONDI"/>
        <s v="NICOLO' COPERNICO"/>
        <s v="NIKOLA TESLA"/>
        <s v="SIMONA REALE"/>
      </sharedItems>
    </cacheField>
    <cacheField name="[Measures].[Somma di ORE 2]" caption="Somma di ORE 2" numFmtId="0" hierarchy="50" level="32767"/>
    <cacheField name="[Measures].[Sum of FATTURATO CORSO]" caption="Sum of FATTURATO CORSO" numFmtId="0" hierarchy="54" level="32767"/>
    <cacheField name="[programmazione].[FATTURATO CORSO].[FATTURATO CORSO]" caption="FATTURATO CORSO" numFmtId="0" hierarchy="20" level="1">
      <sharedItems containsSemiMixedTypes="0" containsNonDate="0" containsString="0"/>
    </cacheField>
    <cacheField name="[corsi].[MATERIA].[MATERIA]" caption="MATERIA" numFmtId="0" hierarchy="2" level="1">
      <sharedItems containsSemiMixedTypes="0" containsNonDate="0" containsString="0"/>
    </cacheField>
    <cacheField name="[corsi].[PREZZO].[PREZZO]" caption="PREZZO" numFmtId="0" hierarchy="3" level="1">
      <sharedItems containsSemiMixedTypes="0" containsNonDate="0" containsString="0"/>
    </cacheField>
    <cacheField name="[corsi].[COSTO TOTALE].[COSTO TOTALE]" caption="COSTO TOTALE" numFmtId="0" hierarchy="5" level="1">
      <sharedItems containsSemiMixedTypes="0" containsNonDate="0" containsString="0"/>
    </cacheField>
    <cacheField name="[corsi].[ORE].[ORE]" caption="ORE" numFmtId="0" hierarchy="4" level="1">
      <sharedItems containsSemiMixedTypes="0" containsNonDate="0" containsString="0"/>
    </cacheField>
    <cacheField name="[programmazione].[ORE].[ORE]" caption="ORE" numFmtId="0" hierarchy="19" level="1">
      <sharedItems containsSemiMixedTypes="0" containsNonDate="0" containsString="0"/>
    </cacheField>
  </cacheFields>
  <cacheHierarchies count="55">
    <cacheHierarchy uniqueName="[corsi].[ID CORSO]" caption="ID CORSO" attribute="1" defaultMemberUniqueName="[corsi].[ID CORSO].[All]" allUniqueName="[corsi].[ID CORSO].[All]" dimensionUniqueName="[corsi]" displayFolder="" count="0" memberValueDatatype="130" unbalanced="0"/>
    <cacheHierarchy uniqueName="[corsi].[TITOLO]" caption="TITOLO" attribute="1" defaultMemberUniqueName="[corsi].[TITOLO].[All]" allUniqueName="[corsi].[TITOLO].[All]" dimensionUniqueName="[corsi]" displayFolder="" count="0" memberValueDatatype="130" unbalanced="0"/>
    <cacheHierarchy uniqueName="[corsi].[MATERIA]" caption="MATERIA" attribute="1" defaultMemberUniqueName="[corsi].[MATERIA].[All]" allUniqueName="[corsi].[MATERIA].[All]" dimensionUniqueName="[corsi]" displayFolder="" count="2" memberValueDatatype="130" unbalanced="0">
      <fieldsUsage count="2">
        <fieldUsage x="-1"/>
        <fieldUsage x="4"/>
      </fieldsUsage>
    </cacheHierarchy>
    <cacheHierarchy uniqueName="[corsi].[PREZZO]" caption="PREZZO" attribute="1" defaultMemberUniqueName="[corsi].[PREZZO].[All]" allUniqueName="[corsi].[PREZZO].[All]" dimensionUniqueName="[corsi]" displayFolder="" count="2" memberValueDatatype="20" unbalanced="0">
      <fieldsUsage count="2">
        <fieldUsage x="-1"/>
        <fieldUsage x="5"/>
      </fieldsUsage>
    </cacheHierarchy>
    <cacheHierarchy uniqueName="[corsi].[ORE]" caption="ORE" attribute="1" defaultMemberUniqueName="[corsi].[ORE].[All]" allUniqueName="[corsi].[ORE].[All]" dimensionUniqueName="[corsi]" displayFolder="" count="2" memberValueDatatype="20" unbalanced="0">
      <fieldsUsage count="2">
        <fieldUsage x="-1"/>
        <fieldUsage x="7"/>
      </fieldsUsage>
    </cacheHierarchy>
    <cacheHierarchy uniqueName="[corsi].[COSTO TOTALE]" caption="COSTO TOTALE" attribute="1" defaultMemberUniqueName="[corsi].[COSTO TOTALE].[All]" allUniqueName="[corsi].[COSTO TOTALE].[All]" dimensionUniqueName="[corsi]" displayFolder="" count="2" memberValueDatatype="20" unbalanced="0">
      <fieldsUsage count="2">
        <fieldUsage x="-1"/>
        <fieldUsage x="6"/>
      </fieldsUsage>
    </cacheHierarchy>
    <cacheHierarchy uniqueName="[docenti].[ID DOCENTE]" caption="ID DOCENTE" attribute="1" defaultMemberUniqueName="[docenti].[ID DOCENTE].[All]" allUniqueName="[docenti].[ID DOCENTE].[All]" dimensionUniqueName="[docenti]" displayFolder="" count="0" memberValueDatatype="130" unbalanced="0"/>
    <cacheHierarchy uniqueName="[docenti].[NOME]" caption="NOME" attribute="1" defaultMemberUniqueName="[docenti].[NOME].[All]" allUniqueName="[docenti].[NOME].[All]" dimensionUniqueName="[docenti]" displayFolder="" count="0" memberValueDatatype="130" unbalanced="0"/>
    <cacheHierarchy uniqueName="[docenti].[COGNOME]" caption="COGNOME" attribute="1" defaultMemberUniqueName="[docenti].[COGNOME].[All]" allUniqueName="[docenti].[COGNOME].[All]" dimensionUniqueName="[docenti]" displayFolder="" count="0" memberValueDatatype="130" unbalanced="0"/>
    <cacheHierarchy uniqueName="[docenti].[DATA DI NASCITA]" caption="DATA DI NASCITA" attribute="1" time="1" defaultMemberUniqueName="[docenti].[DATA DI NASCITA].[All]" allUniqueName="[docenti].[DATA DI NASCITA].[All]" dimensionUniqueName="[docenti]" displayFolder="" count="0" memberValueDatatype="7" unbalanced="0"/>
    <cacheHierarchy uniqueName="[docenti].[CITTA' DI RESIDENZA]" caption="CITTA' DI RESIDENZA" attribute="1" defaultMemberUniqueName="[docenti].[CITTA' DI RESIDENZA].[All]" allUniqueName="[docenti].[CITTA' DI RESIDENZA].[All]" dimensionUniqueName="[docenti]" displayFolder="" count="0" memberValueDatatype="130" unbalanced="0"/>
    <cacheHierarchy uniqueName="[docenti].[MATERIA]" caption="MATERIA" attribute="1" defaultMemberUniqueName="[docenti].[MATERIA].[All]" allUniqueName="[docenti].[MATERIA].[All]" dimensionUniqueName="[docenti]" displayFolder="" count="0" memberValueDatatype="130" unbalanced="0"/>
    <cacheHierarchy uniqueName="[docenti].[NOMINATIVO COMPLETO]" caption="NOMINATIVO COMPLETO" attribute="1" defaultMemberUniqueName="[docenti].[NOMINATIVO COMPLETO].[All]" allUniqueName="[docenti].[NOMINATIVO COMPLETO].[All]" dimensionUniqueName="[docenti]" displayFolder="" count="0" memberValueDatatype="130" unbalanced="0"/>
    <cacheHierarchy uniqueName="[programmazione].[ID PROGRAMMAZIONE]" caption="ID PROGRAMMAZIONE" attribute="1" defaultMemberUniqueName="[programmazione].[ID PROGRAMMAZIONE].[All]" allUniqueName="[programmazione].[ID PROGRAMMAZIONE].[All]" dimensionUniqueName="[programmazione]" displayFolder="" count="0" memberValueDatatype="130" unbalanced="0"/>
    <cacheHierarchy uniqueName="[programmazione].[ID CORSO]" caption="ID CORSO" attribute="1" defaultMemberUniqueName="[programmazione].[ID CORSO].[All]" allUniqueName="[programmazione].[ID CORSO].[All]" dimensionUniqueName="[programmazione]" displayFolder="" count="0" memberValueDatatype="130" unbalanced="0"/>
    <cacheHierarchy uniqueName="[programmazione].[ID DOCENTE]" caption="ID DOCENTE" attribute="1" defaultMemberUniqueName="[programmazione].[ID DOCENTE].[All]" allUniqueName="[programmazione].[ID DOCENTE].[All]" dimensionUniqueName="[programmazione]" displayFolder="" count="2" memberValueDatatype="130" unbalanced="0">
      <fieldsUsage count="2">
        <fieldUsage x="-1"/>
        <fieldUsage x="0"/>
      </fieldsUsage>
    </cacheHierarchy>
    <cacheHierarchy uniqueName="[programmazione].[ID SEDE]" caption="ID SEDE" attribute="1" defaultMemberUniqueName="[programmazione].[ID SEDE].[All]" allUniqueName="[programmazione].[ID SEDE].[All]" dimensionUniqueName="[programmazione]" displayFolder="" count="0" memberValueDatatype="130" unbalanced="0"/>
    <cacheHierarchy uniqueName="[programmazione].[DATA INIZIO]" caption="DATA INIZIO" attribute="1" time="1" defaultMemberUniqueName="[programmazione].[DATA INIZIO].[All]" allUniqueName="[programmazione].[DATA INIZIO].[All]" dimensionUniqueName="[programmazione]" displayFolder="" count="0" memberValueDatatype="7" unbalanced="0"/>
    <cacheHierarchy uniqueName="[programmazione].[DATA FINE]" caption="DATA FINE" attribute="1" time="1" defaultMemberUniqueName="[programmazione].[DATA FINE].[All]" allUniqueName="[programmazione].[DATA FINE].[All]" dimensionUniqueName="[programmazione]" displayFolder="" count="0" memberValueDatatype="7" unbalanced="0"/>
    <cacheHierarchy uniqueName="[programmazione].[ORE]" caption="ORE" attribute="1" defaultMemberUniqueName="[programmazione].[ORE].[All]" allUniqueName="[programmazione].[ORE].[All]" dimensionUniqueName="[programmazione]" displayFolder="" count="2" memberValueDatatype="20" unbalanced="0">
      <fieldsUsage count="2">
        <fieldUsage x="-1"/>
        <fieldUsage x="8"/>
      </fieldsUsage>
    </cacheHierarchy>
    <cacheHierarchy uniqueName="[programmazione].[FATTURATO CORSO]" caption="FATTURATO CORSO" attribute="1" defaultMemberUniqueName="[programmazione].[FATTURATO CORSO].[All]" allUniqueName="[programmazione].[FATTURATO CORSO].[All]" dimensionUniqueName="[programmazione]" displayFolder="" count="2" memberValueDatatype="20" unbalanced="0">
      <fieldsUsage count="2">
        <fieldUsage x="-1"/>
        <fieldUsage x="3"/>
      </fieldsUsage>
    </cacheHierarchy>
    <cacheHierarchy uniqueName="[programmazione].[DATA INIZIO (mese)]" caption="DATA INIZIO (mese)" attribute="1" defaultMemberUniqueName="[programmazione].[DATA INIZIO (mese)].[All]" allUniqueName="[programmazione].[DATA INIZIO (mese)].[All]" dimensionUniqueName="[programmazione]" displayFolder="" count="0" memberValueDatatype="130" unbalanced="0"/>
    <cacheHierarchy uniqueName="[sedi].[ID SEDE]" caption="ID SEDE" attribute="1" defaultMemberUniqueName="[sedi].[ID SEDE].[All]" allUniqueName="[sedi].[ID SEDE].[All]" dimensionUniqueName="[sedi]" displayFolder="" count="0" memberValueDatatype="130" unbalanced="0"/>
    <cacheHierarchy uniqueName="[sedi].[DENOMINAZIONE]" caption="DENOMINAZIONE" attribute="1" defaultMemberUniqueName="[sedi].[DENOMINAZIONE].[All]" allUniqueName="[sedi].[DENOMINAZIONE].[All]" dimensionUniqueName="[sedi]" displayFolder="" count="0" memberValueDatatype="130" unbalanced="0"/>
    <cacheHierarchy uniqueName="[sedi].[CITTA']" caption="CITTA'" attribute="1" defaultMemberUniqueName="[sedi].[CITTA'].[All]" allUniqueName="[sedi].[CITTA'].[All]" dimensionUniqueName="[sedi]" displayFolder="" count="0" memberValueDatatype="130" unbalanced="0"/>
    <cacheHierarchy uniqueName="[sedi].[INDIRIZZO]" caption="INDIRIZZO" attribute="1" defaultMemberUniqueName="[sedi].[INDIRIZZO].[All]" allUniqueName="[sedi].[INDIRIZZO].[All]" dimensionUniqueName="[sedi]" displayFolder="" count="0" memberValueDatatype="130" unbalanced="0"/>
    <cacheHierarchy uniqueName="[sedi].[CAPIENZA]" caption="CAPIENZA" attribute="1" defaultMemberUniqueName="[sedi].[CAPIENZA].[All]" allUniqueName="[sedi].[CAPIENZA].[All]" dimensionUniqueName="[sedi]" displayFolder="" count="0" memberValueDatatype="20" unbalanced="0"/>
    <cacheHierarchy uniqueName="[programmazione].[DATA INIZIO (indice mese)]" caption="DATA INIZIO (indice mese)" attribute="1" defaultMemberUniqueName="[programmazione].[DATA INIZIO (indice mese)].[All]" allUniqueName="[programmazione].[DATA INIZIO (indice mese)].[All]" dimensionUniqueName="[programmazione]" displayFolder="" count="0" memberValueDatatype="20" unbalanced="0" hidden="1"/>
    <cacheHierarchy uniqueName="[Measures].[__XL_Count Tabella1]" caption="__XL_Count Tabella1" measure="1" displayFolder="" measureGroup="sedi" count="0" hidden="1"/>
    <cacheHierarchy uniqueName="[Measures].[__XL_Count Tabella3]" caption="__XL_Count Tabella3" measure="1" displayFolder="" measureGroup="corsi" count="0" hidden="1"/>
    <cacheHierarchy uniqueName="[Measures].[__XL_Count Tabella4]" caption="__XL_Count Tabella4" measure="1" displayFolder="" measureGroup="docenti" count="0" hidden="1"/>
    <cacheHierarchy uniqueName="[Measures].[__XL_Count Tabella5]" caption="__XL_Count Tabella5" measure="1" displayFolder="" measureGroup="programmazione" count="0" hidden="1"/>
    <cacheHierarchy uniqueName="[Measures].[__No measures defined]" caption="__No measures defined" measure="1" displayFolder="" count="0" hidden="1"/>
    <cacheHierarchy uniqueName="[Measures].[Somma di PREZZO]" caption="Somma di PREZZO" measure="1" displayFolder="" measureGroup="cors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eggio di PREZZO]" caption="Conteggio di PREZZO" measure="1" displayFolder="" measureGroup="cors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Massimo di PREZZO]" caption="Massimo di PREZZO" measure="1" displayFolder="" measureGroup="cors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Media di PREZZO]" caption="Media di PREZZO" measure="1" displayFolder="" measureGroup="cors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a di ORE]" caption="Somma di ORE" measure="1" displayFolder="" measureGroup="cors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eggio di ORE]" caption="Conteggio di ORE" measure="1" displayFolder="" measureGroup="cors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Distinct Count di ORE]" caption="Distinct Count di ORE" measure="1" displayFolder="" measureGroup="cors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omma di CAPIENZA]" caption="Somma di CAPIENZA" measure="1" displayFolder="" measureGroup="sedi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Conteggio di CAPIENZA]" caption="Conteggio di CAPIENZA" measure="1" displayFolder="" measureGroup="sedi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Dev. standard di CAPIENZA]" caption="Dev. standard di CAPIENZA" measure="1" displayFolder="" measureGroup="sedi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Distinct Count di CAPIENZA]" caption="Distinct Count di CAPIENZA" measure="1" displayFolder="" measureGroup="sedi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Massimo di CAPIENZA]" caption="Massimo di CAPIENZA" measure="1" displayFolder="" measureGroup="sedi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Varianza di ORE]" caption="Varianza di ORE" measure="1" displayFolder="" measureGroup="cors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Massimo di ORE]" caption="Massimo di ORE" measure="1" displayFolder="" measureGroup="cors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eggio di DATA INIZIO]" caption="Conteggio di DATA INIZIO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Conteggio di DATA FINE]" caption="Conteggio di DATA FINE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Distinct Count di DATA INIZIO]" caption="Distinct Count di DATA INIZIO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ma di ORE 2]" caption="Somma di ORE 2" measure="1" displayFolder="" measureGroup="programmazione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nteggio di ID DOCENTE]" caption="Conteggio di ID DOCENTE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eggio di MATERIA]" caption="Conteggio di MATERIA" measure="1" displayFolder="" measureGroup="docenti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a di COSTO TOTALE]" caption="Somma di COSTO TOTALE" measure="1" displayFolder="" measureGroup="corsi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FATTURATO CORSO]" caption="Sum of FATTURATO CORSO" measure="1" displayFolder="" measureGroup="programmazione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0"/>
        </ext>
      </extLst>
    </cacheHierarchy>
  </cacheHierarchies>
  <kpis count="0"/>
  <dimensions count="5">
    <dimension name="corsi" uniqueName="[corsi]" caption="corsi"/>
    <dimension name="docenti" uniqueName="[docenti]" caption="docenti"/>
    <dimension measure="1" name="Measures" uniqueName="[Measures]" caption="Measures"/>
    <dimension name="programmazione" uniqueName="[programmazione]" caption="programmazione"/>
    <dimension name="sedi" uniqueName="[sedi]" caption="sedi"/>
  </dimensions>
  <measureGroups count="4">
    <measureGroup name="corsi" caption="corsi"/>
    <measureGroup name="docenti" caption="docenti"/>
    <measureGroup name="programmazione" caption="programmazione"/>
    <measureGroup name="sedi" caption="sedi"/>
  </measureGroups>
  <maps count="7">
    <map measureGroup="0" dimension="0"/>
    <map measureGroup="1" dimension="1"/>
    <map measureGroup="2" dimension="0"/>
    <map measureGroup="2" dimension="1"/>
    <map measureGroup="2" dimension="3"/>
    <map measureGroup="2" dimension="4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Giuseppe d'Amico" refreshedDate="45020.770386805554" createdVersion="5" refreshedVersion="8" minRefreshableVersion="3" recordCount="0" supportSubquery="1" supportAdvancedDrill="1" xr:uid="{D72274DB-558A-4423-BCE7-A26E25872BC3}">
  <cacheSource type="external" connectionId="1"/>
  <cacheFields count="9">
    <cacheField name="[Measures].[Somma di ORE 2]" caption="Somma di ORE 2" numFmtId="0" hierarchy="50" level="32767"/>
    <cacheField name="[programmazione].[ID CORSO].[ID CORSO]" caption="ID CORSO" numFmtId="0" hierarchy="14" level="1">
      <sharedItems count="16">
        <s v="FISICA 1"/>
        <s v="FISICA 2"/>
        <s v="FISICA 3"/>
        <s v="FISICA 4"/>
        <s v="INGLESE 1"/>
        <s v="INGLESE 2"/>
        <s v="INGLESE 3"/>
        <s v="INGLESE 4"/>
        <s v="ITALIANO 1"/>
        <s v="ITALIANO 2"/>
        <s v="ITALIANO 3"/>
        <s v="ITALIANO 4"/>
        <s v="MATEMATICA 1"/>
        <s v="MATEMATICA 2"/>
        <s v="MATEMATICA 3"/>
        <s v="MATEMATICA 4"/>
      </sharedItems>
    </cacheField>
    <cacheField name="[programmazione].[FATTURATO CORSO].[FATTURATO CORSO]" caption="FATTURATO CORSO" numFmtId="0" hierarchy="20" level="1">
      <sharedItems containsSemiMixedTypes="0" containsNonDate="0" containsString="0"/>
    </cacheField>
    <cacheField name="[corsi].[MATERIA].[MATERIA]" caption="MATERIA" numFmtId="0" hierarchy="2" level="1">
      <sharedItems containsSemiMixedTypes="0" containsNonDate="0" containsString="0"/>
    </cacheField>
    <cacheField name="[corsi].[PREZZO].[PREZZO]" caption="PREZZO" numFmtId="0" hierarchy="3" level="1">
      <sharedItems containsSemiMixedTypes="0" containsNonDate="0" containsString="0"/>
    </cacheField>
    <cacheField name="[corsi].[COSTO TOTALE].[COSTO TOTALE]" caption="COSTO TOTALE" numFmtId="0" hierarchy="5" level="1">
      <sharedItems containsSemiMixedTypes="0" containsNonDate="0" containsString="0"/>
    </cacheField>
    <cacheField name="[corsi].[ORE].[ORE]" caption="ORE" numFmtId="0" hierarchy="4" level="1">
      <sharedItems containsSemiMixedTypes="0" containsNonDate="0" containsString="0"/>
    </cacheField>
    <cacheField name="[programmazione].[ID DOCENTE].[ID DOCENTE]" caption="ID DOCENTE" numFmtId="0" hierarchy="15" level="1">
      <sharedItems containsSemiMixedTypes="0" containsNonDate="0" containsString="0"/>
    </cacheField>
    <cacheField name="[programmazione].[ORE].[ORE]" caption="ORE" numFmtId="0" hierarchy="19" level="1">
      <sharedItems containsSemiMixedTypes="0" containsNonDate="0" containsString="0"/>
    </cacheField>
  </cacheFields>
  <cacheHierarchies count="55">
    <cacheHierarchy uniqueName="[corsi].[ID CORSO]" caption="ID CORSO" attribute="1" defaultMemberUniqueName="[corsi].[ID CORSO].[All]" allUniqueName="[corsi].[ID CORSO].[All]" dimensionUniqueName="[corsi]" displayFolder="" count="0" memberValueDatatype="130" unbalanced="0"/>
    <cacheHierarchy uniqueName="[corsi].[TITOLO]" caption="TITOLO" attribute="1" defaultMemberUniqueName="[corsi].[TITOLO].[All]" allUniqueName="[corsi].[TITOLO].[All]" dimensionUniqueName="[corsi]" displayFolder="" count="0" memberValueDatatype="130" unbalanced="0"/>
    <cacheHierarchy uniqueName="[corsi].[MATERIA]" caption="MATERIA" attribute="1" defaultMemberUniqueName="[corsi].[MATERIA].[All]" allUniqueName="[corsi].[MATERIA].[All]" dimensionUniqueName="[corsi]" displayFolder="" count="2" memberValueDatatype="130" unbalanced="0">
      <fieldsUsage count="2">
        <fieldUsage x="-1"/>
        <fieldUsage x="3"/>
      </fieldsUsage>
    </cacheHierarchy>
    <cacheHierarchy uniqueName="[corsi].[PREZZO]" caption="PREZZO" attribute="1" defaultMemberUniqueName="[corsi].[PREZZO].[All]" allUniqueName="[corsi].[PREZZO].[All]" dimensionUniqueName="[corsi]" displayFolder="" count="2" memberValueDatatype="20" unbalanced="0">
      <fieldsUsage count="2">
        <fieldUsage x="-1"/>
        <fieldUsage x="4"/>
      </fieldsUsage>
    </cacheHierarchy>
    <cacheHierarchy uniqueName="[corsi].[ORE]" caption="ORE" attribute="1" defaultMemberUniqueName="[corsi].[ORE].[All]" allUniqueName="[corsi].[ORE].[All]" dimensionUniqueName="[corsi]" displayFolder="" count="2" memberValueDatatype="20" unbalanced="0">
      <fieldsUsage count="2">
        <fieldUsage x="-1"/>
        <fieldUsage x="6"/>
      </fieldsUsage>
    </cacheHierarchy>
    <cacheHierarchy uniqueName="[corsi].[COSTO TOTALE]" caption="COSTO TOTALE" attribute="1" defaultMemberUniqueName="[corsi].[COSTO TOTALE].[All]" allUniqueName="[corsi].[COSTO TOTALE].[All]" dimensionUniqueName="[corsi]" displayFolder="" count="2" memberValueDatatype="20" unbalanced="0">
      <fieldsUsage count="2">
        <fieldUsage x="-1"/>
        <fieldUsage x="5"/>
      </fieldsUsage>
    </cacheHierarchy>
    <cacheHierarchy uniqueName="[docenti].[ID DOCENTE]" caption="ID DOCENTE" attribute="1" defaultMemberUniqueName="[docenti].[ID DOCENTE].[All]" allUniqueName="[docenti].[ID DOCENTE].[All]" dimensionUniqueName="[docenti]" displayFolder="" count="0" memberValueDatatype="130" unbalanced="0"/>
    <cacheHierarchy uniqueName="[docenti].[NOME]" caption="NOME" attribute="1" defaultMemberUniqueName="[docenti].[NOME].[All]" allUniqueName="[docenti].[NOME].[All]" dimensionUniqueName="[docenti]" displayFolder="" count="0" memberValueDatatype="130" unbalanced="0"/>
    <cacheHierarchy uniqueName="[docenti].[COGNOME]" caption="COGNOME" attribute="1" defaultMemberUniqueName="[docenti].[COGNOME].[All]" allUniqueName="[docenti].[COGNOME].[All]" dimensionUniqueName="[docenti]" displayFolder="" count="0" memberValueDatatype="130" unbalanced="0"/>
    <cacheHierarchy uniqueName="[docenti].[DATA DI NASCITA]" caption="DATA DI NASCITA" attribute="1" time="1" defaultMemberUniqueName="[docenti].[DATA DI NASCITA].[All]" allUniqueName="[docenti].[DATA DI NASCITA].[All]" dimensionUniqueName="[docenti]" displayFolder="" count="0" memberValueDatatype="7" unbalanced="0"/>
    <cacheHierarchy uniqueName="[docenti].[CITTA' DI RESIDENZA]" caption="CITTA' DI RESIDENZA" attribute="1" defaultMemberUniqueName="[docenti].[CITTA' DI RESIDENZA].[All]" allUniqueName="[docenti].[CITTA' DI RESIDENZA].[All]" dimensionUniqueName="[docenti]" displayFolder="" count="0" memberValueDatatype="130" unbalanced="0"/>
    <cacheHierarchy uniqueName="[docenti].[MATERIA]" caption="MATERIA" attribute="1" defaultMemberUniqueName="[docenti].[MATERIA].[All]" allUniqueName="[docenti].[MATERIA].[All]" dimensionUniqueName="[docenti]" displayFolder="" count="0" memberValueDatatype="130" unbalanced="0"/>
    <cacheHierarchy uniqueName="[docenti].[NOMINATIVO COMPLETO]" caption="NOMINATIVO COMPLETO" attribute="1" defaultMemberUniqueName="[docenti].[NOMINATIVO COMPLETO].[All]" allUniqueName="[docenti].[NOMINATIVO COMPLETO].[All]" dimensionUniqueName="[docenti]" displayFolder="" count="0" memberValueDatatype="130" unbalanced="0"/>
    <cacheHierarchy uniqueName="[programmazione].[ID PROGRAMMAZIONE]" caption="ID PROGRAMMAZIONE" attribute="1" defaultMemberUniqueName="[programmazione].[ID PROGRAMMAZIONE].[All]" allUniqueName="[programmazione].[ID PROGRAMMAZIONE].[All]" dimensionUniqueName="[programmazione]" displayFolder="" count="0" memberValueDatatype="130" unbalanced="0"/>
    <cacheHierarchy uniqueName="[programmazione].[ID CORSO]" caption="ID CORSO" attribute="1" defaultMemberUniqueName="[programmazione].[ID CORSO].[All]" allUniqueName="[programmazione].[ID CORSO].[All]" dimensionUniqueName="[programmazione]" displayFolder="" count="2" memberValueDatatype="130" unbalanced="0">
      <fieldsUsage count="2">
        <fieldUsage x="-1"/>
        <fieldUsage x="1"/>
      </fieldsUsage>
    </cacheHierarchy>
    <cacheHierarchy uniqueName="[programmazione].[ID DOCENTE]" caption="ID DOCENTE" attribute="1" defaultMemberUniqueName="[programmazione].[ID DOCENTE].[All]" allUniqueName="[programmazione].[ID DOCENTE].[All]" dimensionUniqueName="[programmazione]" displayFolder="" count="2" memberValueDatatype="130" unbalanced="0">
      <fieldsUsage count="2">
        <fieldUsage x="-1"/>
        <fieldUsage x="7"/>
      </fieldsUsage>
    </cacheHierarchy>
    <cacheHierarchy uniqueName="[programmazione].[ID SEDE]" caption="ID SEDE" attribute="1" defaultMemberUniqueName="[programmazione].[ID SEDE].[All]" allUniqueName="[programmazione].[ID SEDE].[All]" dimensionUniqueName="[programmazione]" displayFolder="" count="0" memberValueDatatype="130" unbalanced="0"/>
    <cacheHierarchy uniqueName="[programmazione].[DATA INIZIO]" caption="DATA INIZIO" attribute="1" time="1" defaultMemberUniqueName="[programmazione].[DATA INIZIO].[All]" allUniqueName="[programmazione].[DATA INIZIO].[All]" dimensionUniqueName="[programmazione]" displayFolder="" count="0" memberValueDatatype="7" unbalanced="0"/>
    <cacheHierarchy uniqueName="[programmazione].[DATA FINE]" caption="DATA FINE" attribute="1" time="1" defaultMemberUniqueName="[programmazione].[DATA FINE].[All]" allUniqueName="[programmazione].[DATA FINE].[All]" dimensionUniqueName="[programmazione]" displayFolder="" count="0" memberValueDatatype="7" unbalanced="0"/>
    <cacheHierarchy uniqueName="[programmazione].[ORE]" caption="ORE" attribute="1" defaultMemberUniqueName="[programmazione].[ORE].[All]" allUniqueName="[programmazione].[ORE].[All]" dimensionUniqueName="[programmazione]" displayFolder="" count="2" memberValueDatatype="20" unbalanced="0">
      <fieldsUsage count="2">
        <fieldUsage x="-1"/>
        <fieldUsage x="8"/>
      </fieldsUsage>
    </cacheHierarchy>
    <cacheHierarchy uniqueName="[programmazione].[FATTURATO CORSO]" caption="FATTURATO CORSO" attribute="1" defaultMemberUniqueName="[programmazione].[FATTURATO CORSO].[All]" allUniqueName="[programmazione].[FATTURATO CORSO].[All]" dimensionUniqueName="[programmazione]" displayFolder="" count="2" memberValueDatatype="20" unbalanced="0">
      <fieldsUsage count="2">
        <fieldUsage x="-1"/>
        <fieldUsage x="2"/>
      </fieldsUsage>
    </cacheHierarchy>
    <cacheHierarchy uniqueName="[programmazione].[DATA INIZIO (mese)]" caption="DATA INIZIO (mese)" attribute="1" defaultMemberUniqueName="[programmazione].[DATA INIZIO (mese)].[All]" allUniqueName="[programmazione].[DATA INIZIO (mese)].[All]" dimensionUniqueName="[programmazione]" displayFolder="" count="0" memberValueDatatype="130" unbalanced="0"/>
    <cacheHierarchy uniqueName="[sedi].[ID SEDE]" caption="ID SEDE" attribute="1" defaultMemberUniqueName="[sedi].[ID SEDE].[All]" allUniqueName="[sedi].[ID SEDE].[All]" dimensionUniqueName="[sedi]" displayFolder="" count="0" memberValueDatatype="130" unbalanced="0"/>
    <cacheHierarchy uniqueName="[sedi].[DENOMINAZIONE]" caption="DENOMINAZIONE" attribute="1" defaultMemberUniqueName="[sedi].[DENOMINAZIONE].[All]" allUniqueName="[sedi].[DENOMINAZIONE].[All]" dimensionUniqueName="[sedi]" displayFolder="" count="0" memberValueDatatype="130" unbalanced="0"/>
    <cacheHierarchy uniqueName="[sedi].[CITTA']" caption="CITTA'" attribute="1" defaultMemberUniqueName="[sedi].[CITTA'].[All]" allUniqueName="[sedi].[CITTA'].[All]" dimensionUniqueName="[sedi]" displayFolder="" count="0" memberValueDatatype="130" unbalanced="0"/>
    <cacheHierarchy uniqueName="[sedi].[INDIRIZZO]" caption="INDIRIZZO" attribute="1" defaultMemberUniqueName="[sedi].[INDIRIZZO].[All]" allUniqueName="[sedi].[INDIRIZZO].[All]" dimensionUniqueName="[sedi]" displayFolder="" count="0" memberValueDatatype="130" unbalanced="0"/>
    <cacheHierarchy uniqueName="[sedi].[CAPIENZA]" caption="CAPIENZA" attribute="1" defaultMemberUniqueName="[sedi].[CAPIENZA].[All]" allUniqueName="[sedi].[CAPIENZA].[All]" dimensionUniqueName="[sedi]" displayFolder="" count="0" memberValueDatatype="20" unbalanced="0"/>
    <cacheHierarchy uniqueName="[programmazione].[DATA INIZIO (indice mese)]" caption="DATA INIZIO (indice mese)" attribute="1" defaultMemberUniqueName="[programmazione].[DATA INIZIO (indice mese)].[All]" allUniqueName="[programmazione].[DATA INIZIO (indice mese)].[All]" dimensionUniqueName="[programmazione]" displayFolder="" count="0" memberValueDatatype="20" unbalanced="0" hidden="1"/>
    <cacheHierarchy uniqueName="[Measures].[__XL_Count Tabella1]" caption="__XL_Count Tabella1" measure="1" displayFolder="" measureGroup="sedi" count="0" hidden="1"/>
    <cacheHierarchy uniqueName="[Measures].[__XL_Count Tabella3]" caption="__XL_Count Tabella3" measure="1" displayFolder="" measureGroup="corsi" count="0" hidden="1"/>
    <cacheHierarchy uniqueName="[Measures].[__XL_Count Tabella4]" caption="__XL_Count Tabella4" measure="1" displayFolder="" measureGroup="docenti" count="0" hidden="1"/>
    <cacheHierarchy uniqueName="[Measures].[__XL_Count Tabella5]" caption="__XL_Count Tabella5" measure="1" displayFolder="" measureGroup="programmazione" count="0" hidden="1"/>
    <cacheHierarchy uniqueName="[Measures].[__No measures defined]" caption="__No measures defined" measure="1" displayFolder="" count="0" hidden="1"/>
    <cacheHierarchy uniqueName="[Measures].[Somma di PREZZO]" caption="Somma di PREZZO" measure="1" displayFolder="" measureGroup="cors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eggio di PREZZO]" caption="Conteggio di PREZZO" measure="1" displayFolder="" measureGroup="cors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Massimo di PREZZO]" caption="Massimo di PREZZO" measure="1" displayFolder="" measureGroup="cors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Media di PREZZO]" caption="Media di PREZZO" measure="1" displayFolder="" measureGroup="cors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a di ORE]" caption="Somma di ORE" measure="1" displayFolder="" measureGroup="cors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eggio di ORE]" caption="Conteggio di ORE" measure="1" displayFolder="" measureGroup="cors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Distinct Count di ORE]" caption="Distinct Count di ORE" measure="1" displayFolder="" measureGroup="cors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omma di CAPIENZA]" caption="Somma di CAPIENZA" measure="1" displayFolder="" measureGroup="sedi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Conteggio di CAPIENZA]" caption="Conteggio di CAPIENZA" measure="1" displayFolder="" measureGroup="sedi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Dev. standard di CAPIENZA]" caption="Dev. standard di CAPIENZA" measure="1" displayFolder="" measureGroup="sedi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Distinct Count di CAPIENZA]" caption="Distinct Count di CAPIENZA" measure="1" displayFolder="" measureGroup="sedi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Massimo di CAPIENZA]" caption="Massimo di CAPIENZA" measure="1" displayFolder="" measureGroup="sedi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Varianza di ORE]" caption="Varianza di ORE" measure="1" displayFolder="" measureGroup="cors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Massimo di ORE]" caption="Massimo di ORE" measure="1" displayFolder="" measureGroup="cors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eggio di DATA INIZIO]" caption="Conteggio di DATA INIZIO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Conteggio di DATA FINE]" caption="Conteggio di DATA FINE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Distinct Count di DATA INIZIO]" caption="Distinct Count di DATA INIZIO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ma di ORE 2]" caption="Somma di ORE 2" measure="1" displayFolder="" measureGroup="programmazione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nteggio di ID DOCENTE]" caption="Conteggio di ID DOCENTE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eggio di MATERIA]" caption="Conteggio di MATERIA" measure="1" displayFolder="" measureGroup="docenti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a di COSTO TOTALE]" caption="Somma di COSTO TOTALE" measure="1" displayFolder="" measureGroup="corsi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FATTURATO CORSO]" caption="Sum of FATTURATO CORSO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</cacheHierarchies>
  <kpis count="0"/>
  <dimensions count="5">
    <dimension name="corsi" uniqueName="[corsi]" caption="corsi"/>
    <dimension name="docenti" uniqueName="[docenti]" caption="docenti"/>
    <dimension measure="1" name="Measures" uniqueName="[Measures]" caption="Measures"/>
    <dimension name="programmazione" uniqueName="[programmazione]" caption="programmazione"/>
    <dimension name="sedi" uniqueName="[sedi]" caption="sedi"/>
  </dimensions>
  <measureGroups count="4">
    <measureGroup name="corsi" caption="corsi"/>
    <measureGroup name="docenti" caption="docenti"/>
    <measureGroup name="programmazione" caption="programmazione"/>
    <measureGroup name="sedi" caption="sedi"/>
  </measureGroups>
  <maps count="7">
    <map measureGroup="0" dimension="0"/>
    <map measureGroup="1" dimension="1"/>
    <map measureGroup="2" dimension="0"/>
    <map measureGroup="2" dimension="1"/>
    <map measureGroup="2" dimension="3"/>
    <map measureGroup="2" dimension="4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Giuseppe d'Amico" refreshedDate="45020.770391435188" createdVersion="5" refreshedVersion="8" minRefreshableVersion="3" recordCount="0" supportSubquery="1" supportAdvancedDrill="1" xr:uid="{5A3E1746-699E-4CB5-B087-5C5E4EE27FB4}">
  <cacheSource type="external" connectionId="1"/>
  <cacheFields count="7">
    <cacheField name="[corsi].[TITOLO].[TITOLO]" caption="TITOLO" numFmtId="0" hierarchy="1" level="1">
      <sharedItems count="16">
        <s v="FISICA 1"/>
        <s v="FISICA 2"/>
        <s v="FISICA 3"/>
        <s v="FISICA 4"/>
        <s v="INGLESE 1"/>
        <s v="INGLESE 2"/>
        <s v="INGLESE 3"/>
        <s v="INGLESE 4"/>
        <s v="ITALIANO 1"/>
        <s v="ITALIANO 2"/>
        <s v="ITALIANO 3"/>
        <s v="ITALIANO 4"/>
        <s v="MATEMATICA 1"/>
        <s v="MATEMATICA 2"/>
        <s v="MATEMATICA 3"/>
        <s v="MATEMATICA 4"/>
      </sharedItems>
    </cacheField>
    <cacheField name="[Measures].[Somma di PREZZO]" caption="Somma di PREZZO" numFmtId="0" hierarchy="33" level="32767"/>
    <cacheField name="[programmazione].[ID DOCENTE].[ID DOCENTE]" caption="ID DOCENTE" numFmtId="0" hierarchy="15" level="1">
      <sharedItems containsSemiMixedTypes="0" containsNonDate="0" containsString="0"/>
    </cacheField>
    <cacheField name="[corsi].[MATERIA].[MATERIA]" caption="MATERIA" numFmtId="0" hierarchy="2" level="1">
      <sharedItems containsSemiMixedTypes="0" containsNonDate="0" containsString="0"/>
    </cacheField>
    <cacheField name="[corsi].[PREZZO].[PREZZO]" caption="PREZZO" numFmtId="0" hierarchy="3" level="1">
      <sharedItems containsSemiMixedTypes="0" containsNonDate="0" containsString="0"/>
    </cacheField>
    <cacheField name="[corsi].[COSTO TOTALE].[COSTO TOTALE]" caption="COSTO TOTALE" numFmtId="0" hierarchy="5" level="1">
      <sharedItems containsSemiMixedTypes="0" containsNonDate="0" containsString="0"/>
    </cacheField>
    <cacheField name="[corsi].[ORE].[ORE]" caption="ORE" numFmtId="0" hierarchy="4" level="1">
      <sharedItems containsSemiMixedTypes="0" containsNonDate="0" containsString="0"/>
    </cacheField>
  </cacheFields>
  <cacheHierarchies count="55">
    <cacheHierarchy uniqueName="[corsi].[ID CORSO]" caption="ID CORSO" attribute="1" defaultMemberUniqueName="[corsi].[ID CORSO].[All]" allUniqueName="[corsi].[ID CORSO].[All]" dimensionUniqueName="[corsi]" displayFolder="" count="0" memberValueDatatype="130" unbalanced="0"/>
    <cacheHierarchy uniqueName="[corsi].[TITOLO]" caption="TITOLO" attribute="1" defaultMemberUniqueName="[corsi].[TITOLO].[All]" allUniqueName="[corsi].[TITOLO].[All]" dimensionUniqueName="[corsi]" displayFolder="" count="2" memberValueDatatype="130" unbalanced="0">
      <fieldsUsage count="2">
        <fieldUsage x="-1"/>
        <fieldUsage x="0"/>
      </fieldsUsage>
    </cacheHierarchy>
    <cacheHierarchy uniqueName="[corsi].[MATERIA]" caption="MATERIA" attribute="1" defaultMemberUniqueName="[corsi].[MATERIA].[All]" allUniqueName="[corsi].[MATERIA].[All]" dimensionUniqueName="[corsi]" displayFolder="" count="2" memberValueDatatype="130" unbalanced="0">
      <fieldsUsage count="2">
        <fieldUsage x="-1"/>
        <fieldUsage x="3"/>
      </fieldsUsage>
    </cacheHierarchy>
    <cacheHierarchy uniqueName="[corsi].[PREZZO]" caption="PREZZO" attribute="1" defaultMemberUniqueName="[corsi].[PREZZO].[All]" allUniqueName="[corsi].[PREZZO].[All]" dimensionUniqueName="[corsi]" displayFolder="" count="2" memberValueDatatype="20" unbalanced="0">
      <fieldsUsage count="2">
        <fieldUsage x="-1"/>
        <fieldUsage x="4"/>
      </fieldsUsage>
    </cacheHierarchy>
    <cacheHierarchy uniqueName="[corsi].[ORE]" caption="ORE" attribute="1" defaultMemberUniqueName="[corsi].[ORE].[All]" allUniqueName="[corsi].[ORE].[All]" dimensionUniqueName="[corsi]" displayFolder="" count="2" memberValueDatatype="20" unbalanced="0">
      <fieldsUsage count="2">
        <fieldUsage x="-1"/>
        <fieldUsage x="6"/>
      </fieldsUsage>
    </cacheHierarchy>
    <cacheHierarchy uniqueName="[corsi].[COSTO TOTALE]" caption="COSTO TOTALE" attribute="1" defaultMemberUniqueName="[corsi].[COSTO TOTALE].[All]" allUniqueName="[corsi].[COSTO TOTALE].[All]" dimensionUniqueName="[corsi]" displayFolder="" count="2" memberValueDatatype="20" unbalanced="0">
      <fieldsUsage count="2">
        <fieldUsage x="-1"/>
        <fieldUsage x="5"/>
      </fieldsUsage>
    </cacheHierarchy>
    <cacheHierarchy uniqueName="[docenti].[ID DOCENTE]" caption="ID DOCENTE" attribute="1" defaultMemberUniqueName="[docenti].[ID DOCENTE].[All]" allUniqueName="[docenti].[ID DOCENTE].[All]" dimensionUniqueName="[docenti]" displayFolder="" count="0" memberValueDatatype="130" unbalanced="0"/>
    <cacheHierarchy uniqueName="[docenti].[NOME]" caption="NOME" attribute="1" defaultMemberUniqueName="[docenti].[NOME].[All]" allUniqueName="[docenti].[NOME].[All]" dimensionUniqueName="[docenti]" displayFolder="" count="0" memberValueDatatype="130" unbalanced="0"/>
    <cacheHierarchy uniqueName="[docenti].[COGNOME]" caption="COGNOME" attribute="1" defaultMemberUniqueName="[docenti].[COGNOME].[All]" allUniqueName="[docenti].[COGNOME].[All]" dimensionUniqueName="[docenti]" displayFolder="" count="0" memberValueDatatype="130" unbalanced="0"/>
    <cacheHierarchy uniqueName="[docenti].[DATA DI NASCITA]" caption="DATA DI NASCITA" attribute="1" time="1" defaultMemberUniqueName="[docenti].[DATA DI NASCITA].[All]" allUniqueName="[docenti].[DATA DI NASCITA].[All]" dimensionUniqueName="[docenti]" displayFolder="" count="0" memberValueDatatype="7" unbalanced="0"/>
    <cacheHierarchy uniqueName="[docenti].[CITTA' DI RESIDENZA]" caption="CITTA' DI RESIDENZA" attribute="1" defaultMemberUniqueName="[docenti].[CITTA' DI RESIDENZA].[All]" allUniqueName="[docenti].[CITTA' DI RESIDENZA].[All]" dimensionUniqueName="[docenti]" displayFolder="" count="0" memberValueDatatype="130" unbalanced="0"/>
    <cacheHierarchy uniqueName="[docenti].[MATERIA]" caption="MATERIA" attribute="1" defaultMemberUniqueName="[docenti].[MATERIA].[All]" allUniqueName="[docenti].[MATERIA].[All]" dimensionUniqueName="[docenti]" displayFolder="" count="0" memberValueDatatype="130" unbalanced="0"/>
    <cacheHierarchy uniqueName="[docenti].[NOMINATIVO COMPLETO]" caption="NOMINATIVO COMPLETO" attribute="1" defaultMemberUniqueName="[docenti].[NOMINATIVO COMPLETO].[All]" allUniqueName="[docenti].[NOMINATIVO COMPLETO].[All]" dimensionUniqueName="[docenti]" displayFolder="" count="0" memberValueDatatype="130" unbalanced="0"/>
    <cacheHierarchy uniqueName="[programmazione].[ID PROGRAMMAZIONE]" caption="ID PROGRAMMAZIONE" attribute="1" defaultMemberUniqueName="[programmazione].[ID PROGRAMMAZIONE].[All]" allUniqueName="[programmazione].[ID PROGRAMMAZIONE].[All]" dimensionUniqueName="[programmazione]" displayFolder="" count="0" memberValueDatatype="130" unbalanced="0"/>
    <cacheHierarchy uniqueName="[programmazione].[ID CORSO]" caption="ID CORSO" attribute="1" defaultMemberUniqueName="[programmazione].[ID CORSO].[All]" allUniqueName="[programmazione].[ID CORSO].[All]" dimensionUniqueName="[programmazione]" displayFolder="" count="0" memberValueDatatype="130" unbalanced="0"/>
    <cacheHierarchy uniqueName="[programmazione].[ID DOCENTE]" caption="ID DOCENTE" attribute="1" defaultMemberUniqueName="[programmazione].[ID DOCENTE].[All]" allUniqueName="[programmazione].[ID DOCENTE].[All]" dimensionUniqueName="[programmazione]" displayFolder="" count="2" memberValueDatatype="130" unbalanced="0">
      <fieldsUsage count="2">
        <fieldUsage x="-1"/>
        <fieldUsage x="2"/>
      </fieldsUsage>
    </cacheHierarchy>
    <cacheHierarchy uniqueName="[programmazione].[ID SEDE]" caption="ID SEDE" attribute="1" defaultMemberUniqueName="[programmazione].[ID SEDE].[All]" allUniqueName="[programmazione].[ID SEDE].[All]" dimensionUniqueName="[programmazione]" displayFolder="" count="0" memberValueDatatype="130" unbalanced="0"/>
    <cacheHierarchy uniqueName="[programmazione].[DATA INIZIO]" caption="DATA INIZIO" attribute="1" time="1" defaultMemberUniqueName="[programmazione].[DATA INIZIO].[All]" allUniqueName="[programmazione].[DATA INIZIO].[All]" dimensionUniqueName="[programmazione]" displayFolder="" count="0" memberValueDatatype="7" unbalanced="0"/>
    <cacheHierarchy uniqueName="[programmazione].[DATA FINE]" caption="DATA FINE" attribute="1" time="1" defaultMemberUniqueName="[programmazione].[DATA FINE].[All]" allUniqueName="[programmazione].[DATA FINE].[All]" dimensionUniqueName="[programmazione]" displayFolder="" count="0" memberValueDatatype="7" unbalanced="0"/>
    <cacheHierarchy uniqueName="[programmazione].[ORE]" caption="ORE" attribute="1" defaultMemberUniqueName="[programmazione].[ORE].[All]" allUniqueName="[programmazione].[ORE].[All]" dimensionUniqueName="[programmazione]" displayFolder="" count="0" memberValueDatatype="20" unbalanced="0"/>
    <cacheHierarchy uniqueName="[programmazione].[FATTURATO CORSO]" caption="FATTURATO CORSO" attribute="1" defaultMemberUniqueName="[programmazione].[FATTURATO CORSO].[All]" allUniqueName="[programmazione].[FATTURATO CORSO].[All]" dimensionUniqueName="[programmazione]" displayFolder="" count="0" memberValueDatatype="20" unbalanced="0"/>
    <cacheHierarchy uniqueName="[programmazione].[DATA INIZIO (mese)]" caption="DATA INIZIO (mese)" attribute="1" defaultMemberUniqueName="[programmazione].[DATA INIZIO (mese)].[All]" allUniqueName="[programmazione].[DATA INIZIO (mese)].[All]" dimensionUniqueName="[programmazione]" displayFolder="" count="0" memberValueDatatype="130" unbalanced="0"/>
    <cacheHierarchy uniqueName="[sedi].[ID SEDE]" caption="ID SEDE" attribute="1" defaultMemberUniqueName="[sedi].[ID SEDE].[All]" allUniqueName="[sedi].[ID SEDE].[All]" dimensionUniqueName="[sedi]" displayFolder="" count="0" memberValueDatatype="130" unbalanced="0"/>
    <cacheHierarchy uniqueName="[sedi].[DENOMINAZIONE]" caption="DENOMINAZIONE" attribute="1" defaultMemberUniqueName="[sedi].[DENOMINAZIONE].[All]" allUniqueName="[sedi].[DENOMINAZIONE].[All]" dimensionUniqueName="[sedi]" displayFolder="" count="0" memberValueDatatype="130" unbalanced="0"/>
    <cacheHierarchy uniqueName="[sedi].[CITTA']" caption="CITTA'" attribute="1" defaultMemberUniqueName="[sedi].[CITTA'].[All]" allUniqueName="[sedi].[CITTA'].[All]" dimensionUniqueName="[sedi]" displayFolder="" count="0" memberValueDatatype="130" unbalanced="0"/>
    <cacheHierarchy uniqueName="[sedi].[INDIRIZZO]" caption="INDIRIZZO" attribute="1" defaultMemberUniqueName="[sedi].[INDIRIZZO].[All]" allUniqueName="[sedi].[INDIRIZZO].[All]" dimensionUniqueName="[sedi]" displayFolder="" count="0" memberValueDatatype="130" unbalanced="0"/>
    <cacheHierarchy uniqueName="[sedi].[CAPIENZA]" caption="CAPIENZA" attribute="1" defaultMemberUniqueName="[sedi].[CAPIENZA].[All]" allUniqueName="[sedi].[CAPIENZA].[All]" dimensionUniqueName="[sedi]" displayFolder="" count="0" memberValueDatatype="20" unbalanced="0"/>
    <cacheHierarchy uniqueName="[programmazione].[DATA INIZIO (indice mese)]" caption="DATA INIZIO (indice mese)" attribute="1" defaultMemberUniqueName="[programmazione].[DATA INIZIO (indice mese)].[All]" allUniqueName="[programmazione].[DATA INIZIO (indice mese)].[All]" dimensionUniqueName="[programmazione]" displayFolder="" count="0" memberValueDatatype="20" unbalanced="0" hidden="1"/>
    <cacheHierarchy uniqueName="[Measures].[__XL_Count Tabella1]" caption="__XL_Count Tabella1" measure="1" displayFolder="" measureGroup="sedi" count="0" hidden="1"/>
    <cacheHierarchy uniqueName="[Measures].[__XL_Count Tabella3]" caption="__XL_Count Tabella3" measure="1" displayFolder="" measureGroup="corsi" count="0" hidden="1"/>
    <cacheHierarchy uniqueName="[Measures].[__XL_Count Tabella4]" caption="__XL_Count Tabella4" measure="1" displayFolder="" measureGroup="docenti" count="0" hidden="1"/>
    <cacheHierarchy uniqueName="[Measures].[__XL_Count Tabella5]" caption="__XL_Count Tabella5" measure="1" displayFolder="" measureGroup="programmazione" count="0" hidden="1"/>
    <cacheHierarchy uniqueName="[Measures].[__No measures defined]" caption="__No measures defined" measure="1" displayFolder="" count="0" hidden="1"/>
    <cacheHierarchy uniqueName="[Measures].[Somma di PREZZO]" caption="Somma di PREZZO" measure="1" displayFolder="" measureGroup="corsi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eggio di PREZZO]" caption="Conteggio di PREZZO" measure="1" displayFolder="" measureGroup="cors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Massimo di PREZZO]" caption="Massimo di PREZZO" measure="1" displayFolder="" measureGroup="cors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Media di PREZZO]" caption="Media di PREZZO" measure="1" displayFolder="" measureGroup="cors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a di ORE]" caption="Somma di ORE" measure="1" displayFolder="" measureGroup="cors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eggio di ORE]" caption="Conteggio di ORE" measure="1" displayFolder="" measureGroup="cors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Distinct Count di ORE]" caption="Distinct Count di ORE" measure="1" displayFolder="" measureGroup="cors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omma di CAPIENZA]" caption="Somma di CAPIENZA" measure="1" displayFolder="" measureGroup="sedi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Conteggio di CAPIENZA]" caption="Conteggio di CAPIENZA" measure="1" displayFolder="" measureGroup="sedi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Dev. standard di CAPIENZA]" caption="Dev. standard di CAPIENZA" measure="1" displayFolder="" measureGroup="sedi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Distinct Count di CAPIENZA]" caption="Distinct Count di CAPIENZA" measure="1" displayFolder="" measureGroup="sedi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Massimo di CAPIENZA]" caption="Massimo di CAPIENZA" measure="1" displayFolder="" measureGroup="sedi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Varianza di ORE]" caption="Varianza di ORE" measure="1" displayFolder="" measureGroup="cors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Massimo di ORE]" caption="Massimo di ORE" measure="1" displayFolder="" measureGroup="cors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eggio di DATA INIZIO]" caption="Conteggio di DATA INIZIO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Conteggio di DATA FINE]" caption="Conteggio di DATA FINE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Distinct Count di DATA INIZIO]" caption="Distinct Count di DATA INIZIO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ma di ORE 2]" caption="Somma di ORE 2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nteggio di ID DOCENTE]" caption="Conteggio di ID DOCENTE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eggio di MATERIA]" caption="Conteggio di MATERIA" measure="1" displayFolder="" measureGroup="docenti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a di COSTO TOTALE]" caption="Somma di COSTO TOTALE" measure="1" displayFolder="" measureGroup="corsi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FATTURATO CORSO]" caption="Sum of FATTURATO CORSO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</cacheHierarchies>
  <kpis count="0"/>
  <dimensions count="5">
    <dimension name="corsi" uniqueName="[corsi]" caption="corsi"/>
    <dimension name="docenti" uniqueName="[docenti]" caption="docenti"/>
    <dimension measure="1" name="Measures" uniqueName="[Measures]" caption="Measures"/>
    <dimension name="programmazione" uniqueName="[programmazione]" caption="programmazione"/>
    <dimension name="sedi" uniqueName="[sedi]" caption="sedi"/>
  </dimensions>
  <measureGroups count="4">
    <measureGroup name="corsi" caption="corsi"/>
    <measureGroup name="docenti" caption="docenti"/>
    <measureGroup name="programmazione" caption="programmazione"/>
    <measureGroup name="sedi" caption="sedi"/>
  </measureGroups>
  <maps count="7">
    <map measureGroup="0" dimension="0"/>
    <map measureGroup="1" dimension="1"/>
    <map measureGroup="2" dimension="0"/>
    <map measureGroup="2" dimension="1"/>
    <map measureGroup="2" dimension="3"/>
    <map measureGroup="2" dimension="4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Giuseppe d'Amico" refreshedDate="45020.770401273148" backgroundQuery="1" createdVersion="8" refreshedVersion="8" minRefreshableVersion="3" recordCount="0" supportSubquery="1" supportAdvancedDrill="1" xr:uid="{BC882CD2-4E63-4D94-A2CC-DAA36B08CC36}">
  <cacheSource type="external" connectionId="1"/>
  <cacheFields count="3">
    <cacheField name="[Measures].[Conteggio di ID DOCENTE]" caption="Conteggio di ID DOCENTE" numFmtId="0" hierarchy="51" level="32767"/>
    <cacheField name="[programmazione].[ID SEDE].[ID SEDE]" caption="ID SEDE" numFmtId="0" hierarchy="16" level="1">
      <sharedItems count="4">
        <s v="BARI"/>
        <s v="BOLOGNA"/>
        <s v="NAPOLI"/>
        <s v="ONLINE"/>
      </sharedItems>
    </cacheField>
    <cacheField name="[programmazione].[ID CORSO].[ID CORSO]" caption="ID CORSO" numFmtId="0" hierarchy="14" level="1">
      <sharedItems count="16">
        <s v="FISICA 1"/>
        <s v="INGLESE 2"/>
        <s v="ITALIANO 3"/>
        <s v="MATEMATICA 1"/>
        <s v="FISICA 2"/>
        <s v="INGLESE 1"/>
        <s v="ITALIANO 2"/>
        <s v="MATEMATICA 4"/>
        <s v="FISICA 3"/>
        <s v="INGLESE 3"/>
        <s v="ITALIANO 4"/>
        <s v="MATEMATICA 3"/>
        <s v="FISICA 4"/>
        <s v="INGLESE 4"/>
        <s v="ITALIANO 1"/>
        <s v="MATEMATICA 2"/>
      </sharedItems>
    </cacheField>
  </cacheFields>
  <cacheHierarchies count="55">
    <cacheHierarchy uniqueName="[corsi].[ID CORSO]" caption="ID CORSO" attribute="1" defaultMemberUniqueName="[corsi].[ID CORSO].[All]" allUniqueName="[corsi].[ID CORSO].[All]" dimensionUniqueName="[corsi]" displayFolder="" count="0" memberValueDatatype="130" unbalanced="0"/>
    <cacheHierarchy uniqueName="[corsi].[TITOLO]" caption="TITOLO" attribute="1" defaultMemberUniqueName="[corsi].[TITOLO].[All]" allUniqueName="[corsi].[TITOLO].[All]" dimensionUniqueName="[corsi]" displayFolder="" count="0" memberValueDatatype="130" unbalanced="0"/>
    <cacheHierarchy uniqueName="[corsi].[MATERIA]" caption="MATERIA" attribute="1" defaultMemberUniqueName="[corsi].[MATERIA].[All]" allUniqueName="[corsi].[MATERIA].[All]" dimensionUniqueName="[corsi]" displayFolder="" count="0" memberValueDatatype="130" unbalanced="0"/>
    <cacheHierarchy uniqueName="[corsi].[PREZZO]" caption="PREZZO" attribute="1" defaultMemberUniqueName="[corsi].[PREZZO].[All]" allUniqueName="[corsi].[PREZZO].[All]" dimensionUniqueName="[corsi]" displayFolder="" count="0" memberValueDatatype="20" unbalanced="0"/>
    <cacheHierarchy uniqueName="[corsi].[ORE]" caption="ORE" attribute="1" defaultMemberUniqueName="[corsi].[ORE].[All]" allUniqueName="[corsi].[ORE].[All]" dimensionUniqueName="[corsi]" displayFolder="" count="0" memberValueDatatype="20" unbalanced="0"/>
    <cacheHierarchy uniqueName="[corsi].[COSTO TOTALE]" caption="COSTO TOTALE" attribute="1" defaultMemberUniqueName="[corsi].[COSTO TOTALE].[All]" allUniqueName="[corsi].[COSTO TOTALE].[All]" dimensionUniqueName="[corsi]" displayFolder="" count="0" memberValueDatatype="20" unbalanced="0"/>
    <cacheHierarchy uniqueName="[docenti].[ID DOCENTE]" caption="ID DOCENTE" attribute="1" defaultMemberUniqueName="[docenti].[ID DOCENTE].[All]" allUniqueName="[docenti].[ID DOCENTE].[All]" dimensionUniqueName="[docenti]" displayFolder="" count="0" memberValueDatatype="130" unbalanced="0"/>
    <cacheHierarchy uniqueName="[docenti].[NOME]" caption="NOME" attribute="1" defaultMemberUniqueName="[docenti].[NOME].[All]" allUniqueName="[docenti].[NOME].[All]" dimensionUniqueName="[docenti]" displayFolder="" count="0" memberValueDatatype="130" unbalanced="0"/>
    <cacheHierarchy uniqueName="[docenti].[COGNOME]" caption="COGNOME" attribute="1" defaultMemberUniqueName="[docenti].[COGNOME].[All]" allUniqueName="[docenti].[COGNOME].[All]" dimensionUniqueName="[docenti]" displayFolder="" count="0" memberValueDatatype="130" unbalanced="0"/>
    <cacheHierarchy uniqueName="[docenti].[DATA DI NASCITA]" caption="DATA DI NASCITA" attribute="1" time="1" defaultMemberUniqueName="[docenti].[DATA DI NASCITA].[All]" allUniqueName="[docenti].[DATA DI NASCITA].[All]" dimensionUniqueName="[docenti]" displayFolder="" count="0" memberValueDatatype="7" unbalanced="0"/>
    <cacheHierarchy uniqueName="[docenti].[CITTA' DI RESIDENZA]" caption="CITTA' DI RESIDENZA" attribute="1" defaultMemberUniqueName="[docenti].[CITTA' DI RESIDENZA].[All]" allUniqueName="[docenti].[CITTA' DI RESIDENZA].[All]" dimensionUniqueName="[docenti]" displayFolder="" count="0" memberValueDatatype="130" unbalanced="0"/>
    <cacheHierarchy uniqueName="[docenti].[MATERIA]" caption="MATERIA" attribute="1" defaultMemberUniqueName="[docenti].[MATERIA].[All]" allUniqueName="[docenti].[MATERIA].[All]" dimensionUniqueName="[docenti]" displayFolder="" count="0" memberValueDatatype="130" unbalanced="0"/>
    <cacheHierarchy uniqueName="[docenti].[NOMINATIVO COMPLETO]" caption="NOMINATIVO COMPLETO" attribute="1" defaultMemberUniqueName="[docenti].[NOMINATIVO COMPLETO].[All]" allUniqueName="[docenti].[NOMINATIVO COMPLETO].[All]" dimensionUniqueName="[docenti]" displayFolder="" count="0" memberValueDatatype="130" unbalanced="0"/>
    <cacheHierarchy uniqueName="[programmazione].[ID PROGRAMMAZIONE]" caption="ID PROGRAMMAZIONE" attribute="1" defaultMemberUniqueName="[programmazione].[ID PROGRAMMAZIONE].[All]" allUniqueName="[programmazione].[ID PROGRAMMAZIONE].[All]" dimensionUniqueName="[programmazione]" displayFolder="" count="0" memberValueDatatype="130" unbalanced="0"/>
    <cacheHierarchy uniqueName="[programmazione].[ID CORSO]" caption="ID CORSO" attribute="1" defaultMemberUniqueName="[programmazione].[ID CORSO].[All]" allUniqueName="[programmazione].[ID CORSO].[All]" dimensionUniqueName="[programmazione]" displayFolder="" count="2" memberValueDatatype="130" unbalanced="0">
      <fieldsUsage count="2">
        <fieldUsage x="-1"/>
        <fieldUsage x="2"/>
      </fieldsUsage>
    </cacheHierarchy>
    <cacheHierarchy uniqueName="[programmazione].[ID DOCENTE]" caption="ID DOCENTE" attribute="1" defaultMemberUniqueName="[programmazione].[ID DOCENTE].[All]" allUniqueName="[programmazione].[ID DOCENTE].[All]" dimensionUniqueName="[programmazione]" displayFolder="" count="0" memberValueDatatype="130" unbalanced="0"/>
    <cacheHierarchy uniqueName="[programmazione].[ID SEDE]" caption="ID SEDE" attribute="1" defaultMemberUniqueName="[programmazione].[ID SEDE].[All]" allUniqueName="[programmazione].[ID SEDE].[All]" dimensionUniqueName="[programmazione]" displayFolder="" count="2" memberValueDatatype="130" unbalanced="0">
      <fieldsUsage count="2">
        <fieldUsage x="-1"/>
        <fieldUsage x="1"/>
      </fieldsUsage>
    </cacheHierarchy>
    <cacheHierarchy uniqueName="[programmazione].[DATA INIZIO]" caption="DATA INIZIO" attribute="1" time="1" defaultMemberUniqueName="[programmazione].[DATA INIZIO].[All]" allUniqueName="[programmazione].[DATA INIZIO].[All]" dimensionUniqueName="[programmazione]" displayFolder="" count="0" memberValueDatatype="7" unbalanced="0"/>
    <cacheHierarchy uniqueName="[programmazione].[DATA FINE]" caption="DATA FINE" attribute="1" time="1" defaultMemberUniqueName="[programmazione].[DATA FINE].[All]" allUniqueName="[programmazione].[DATA FINE].[All]" dimensionUniqueName="[programmazione]" displayFolder="" count="0" memberValueDatatype="7" unbalanced="0"/>
    <cacheHierarchy uniqueName="[programmazione].[ORE]" caption="ORE" attribute="1" defaultMemberUniqueName="[programmazione].[ORE].[All]" allUniqueName="[programmazione].[ORE].[All]" dimensionUniqueName="[programmazione]" displayFolder="" count="0" memberValueDatatype="20" unbalanced="0"/>
    <cacheHierarchy uniqueName="[programmazione].[FATTURATO CORSO]" caption="FATTURATO CORSO" attribute="1" defaultMemberUniqueName="[programmazione].[FATTURATO CORSO].[All]" allUniqueName="[programmazione].[FATTURATO CORSO].[All]" dimensionUniqueName="[programmazione]" displayFolder="" count="0" memberValueDatatype="20" unbalanced="0"/>
    <cacheHierarchy uniqueName="[programmazione].[DATA INIZIO (mese)]" caption="DATA INIZIO (mese)" attribute="1" defaultMemberUniqueName="[programmazione].[DATA INIZIO (mese)].[All]" allUniqueName="[programmazione].[DATA INIZIO (mese)].[All]" dimensionUniqueName="[programmazione]" displayFolder="" count="0" memberValueDatatype="130" unbalanced="0"/>
    <cacheHierarchy uniqueName="[sedi].[ID SEDE]" caption="ID SEDE" attribute="1" defaultMemberUniqueName="[sedi].[ID SEDE].[All]" allUniqueName="[sedi].[ID SEDE].[All]" dimensionUniqueName="[sedi]" displayFolder="" count="0" memberValueDatatype="130" unbalanced="0"/>
    <cacheHierarchy uniqueName="[sedi].[DENOMINAZIONE]" caption="DENOMINAZIONE" attribute="1" defaultMemberUniqueName="[sedi].[DENOMINAZIONE].[All]" allUniqueName="[sedi].[DENOMINAZIONE].[All]" dimensionUniqueName="[sedi]" displayFolder="" count="0" memberValueDatatype="130" unbalanced="0"/>
    <cacheHierarchy uniqueName="[sedi].[CITTA']" caption="CITTA'" attribute="1" defaultMemberUniqueName="[sedi].[CITTA'].[All]" allUniqueName="[sedi].[CITTA'].[All]" dimensionUniqueName="[sedi]" displayFolder="" count="0" memberValueDatatype="130" unbalanced="0"/>
    <cacheHierarchy uniqueName="[sedi].[INDIRIZZO]" caption="INDIRIZZO" attribute="1" defaultMemberUniqueName="[sedi].[INDIRIZZO].[All]" allUniqueName="[sedi].[INDIRIZZO].[All]" dimensionUniqueName="[sedi]" displayFolder="" count="0" memberValueDatatype="130" unbalanced="0"/>
    <cacheHierarchy uniqueName="[sedi].[CAPIENZA]" caption="CAPIENZA" attribute="1" defaultMemberUniqueName="[sedi].[CAPIENZA].[All]" allUniqueName="[sedi].[CAPIENZA].[All]" dimensionUniqueName="[sedi]" displayFolder="" count="0" memberValueDatatype="20" unbalanced="0"/>
    <cacheHierarchy uniqueName="[programmazione].[DATA INIZIO (indice mese)]" caption="DATA INIZIO (indice mese)" attribute="1" defaultMemberUniqueName="[programmazione].[DATA INIZIO (indice mese)].[All]" allUniqueName="[programmazione].[DATA INIZIO (indice mese)].[All]" dimensionUniqueName="[programmazione]" displayFolder="" count="0" memberValueDatatype="20" unbalanced="0" hidden="1"/>
    <cacheHierarchy uniqueName="[Measures].[__XL_Count Tabella1]" caption="__XL_Count Tabella1" measure="1" displayFolder="" measureGroup="sedi" count="0" hidden="1"/>
    <cacheHierarchy uniqueName="[Measures].[__XL_Count Tabella3]" caption="__XL_Count Tabella3" measure="1" displayFolder="" measureGroup="corsi" count="0" hidden="1"/>
    <cacheHierarchy uniqueName="[Measures].[__XL_Count Tabella4]" caption="__XL_Count Tabella4" measure="1" displayFolder="" measureGroup="docenti" count="0" hidden="1"/>
    <cacheHierarchy uniqueName="[Measures].[__XL_Count Tabella5]" caption="__XL_Count Tabella5" measure="1" displayFolder="" measureGroup="programmazione" count="0" hidden="1"/>
    <cacheHierarchy uniqueName="[Measures].[__No measures defined]" caption="__No measures defined" measure="1" displayFolder="" count="0" hidden="1"/>
    <cacheHierarchy uniqueName="[Measures].[Somma di PREZZO]" caption="Somma di PREZZO" measure="1" displayFolder="" measureGroup="cors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eggio di PREZZO]" caption="Conteggio di PREZZO" measure="1" displayFolder="" measureGroup="cors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Massimo di PREZZO]" caption="Massimo di PREZZO" measure="1" displayFolder="" measureGroup="cors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Media di PREZZO]" caption="Media di PREZZO" measure="1" displayFolder="" measureGroup="cors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a di ORE]" caption="Somma di ORE" measure="1" displayFolder="" measureGroup="cors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eggio di ORE]" caption="Conteggio di ORE" measure="1" displayFolder="" measureGroup="cors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Distinct Count di ORE]" caption="Distinct Count di ORE" measure="1" displayFolder="" measureGroup="cors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omma di CAPIENZA]" caption="Somma di CAPIENZA" measure="1" displayFolder="" measureGroup="sedi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Conteggio di CAPIENZA]" caption="Conteggio di CAPIENZA" measure="1" displayFolder="" measureGroup="sedi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Dev. standard di CAPIENZA]" caption="Dev. standard di CAPIENZA" measure="1" displayFolder="" measureGroup="sedi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Distinct Count di CAPIENZA]" caption="Distinct Count di CAPIENZA" measure="1" displayFolder="" measureGroup="sedi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Massimo di CAPIENZA]" caption="Massimo di CAPIENZA" measure="1" displayFolder="" measureGroup="sedi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Varianza di ORE]" caption="Varianza di ORE" measure="1" displayFolder="" measureGroup="cors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Massimo di ORE]" caption="Massimo di ORE" measure="1" displayFolder="" measureGroup="cors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eggio di DATA INIZIO]" caption="Conteggio di DATA INIZIO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Conteggio di DATA FINE]" caption="Conteggio di DATA FINE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Distinct Count di DATA INIZIO]" caption="Distinct Count di DATA INIZIO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ma di ORE 2]" caption="Somma di ORE 2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nteggio di ID DOCENTE]" caption="Conteggio di ID DOCENTE" measure="1" displayFolder="" measureGroup="programmazione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eggio di MATERIA]" caption="Conteggio di MATERIA" measure="1" displayFolder="" measureGroup="docenti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a di COSTO TOTALE]" caption="Somma di COSTO TOTALE" measure="1" displayFolder="" measureGroup="corsi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FATTURATO CORSO]" caption="Sum of FATTURATO CORSO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</cacheHierarchies>
  <kpis count="0"/>
  <dimensions count="5">
    <dimension name="corsi" uniqueName="[corsi]" caption="corsi"/>
    <dimension name="docenti" uniqueName="[docenti]" caption="docenti"/>
    <dimension measure="1" name="Measures" uniqueName="[Measures]" caption="Measures"/>
    <dimension name="programmazione" uniqueName="[programmazione]" caption="programmazione"/>
    <dimension name="sedi" uniqueName="[sedi]" caption="sedi"/>
  </dimensions>
  <measureGroups count="4">
    <measureGroup name="corsi" caption="corsi"/>
    <measureGroup name="docenti" caption="docenti"/>
    <measureGroup name="programmazione" caption="programmazione"/>
    <measureGroup name="sedi" caption="sedi"/>
  </measureGroups>
  <maps count="7">
    <map measureGroup="0" dimension="0"/>
    <map measureGroup="1" dimension="1"/>
    <map measureGroup="2" dimension="0"/>
    <map measureGroup="2" dimension="1"/>
    <map measureGroup="2" dimension="3"/>
    <map measureGroup="2" dimension="4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Giuseppe d'Amico" refreshedDate="45020.770403703704" backgroundQuery="1" createdVersion="8" refreshedVersion="8" minRefreshableVersion="3" recordCount="0" supportSubquery="1" supportAdvancedDrill="1" xr:uid="{D28F6D2E-EDDF-4198-9C80-1CAE4776615C}">
  <cacheSource type="external" connectionId="1"/>
  <cacheFields count="3">
    <cacheField name="[Measures].[Somma di ORE 2]" caption="Somma di ORE 2" numFmtId="0" hierarchy="50" level="32767"/>
    <cacheField name="[programmazione].[ID SEDE].[ID SEDE]" caption="ID SEDE" numFmtId="0" hierarchy="16" level="1">
      <sharedItems count="4">
        <s v="BARI"/>
        <s v="BOLOGNA"/>
        <s v="NAPOLI"/>
        <s v="ONLINE"/>
      </sharedItems>
    </cacheField>
    <cacheField name="[programmazione].[ID DOCENTE].[ID DOCENTE]" caption="ID DOCENTE" numFmtId="0" hierarchy="15" level="1">
      <sharedItems count="16">
        <s v="ALBERT EINSTEIN"/>
        <s v="ENZA LOSAPPIO"/>
        <s v="FRANCA DE BELLIS"/>
        <s v="SIMONA REALE"/>
        <s v="ALESSANDRA GUERRIERO"/>
        <s v="ISAAC NEWTON"/>
        <s v="JOHN WATSON"/>
        <s v="MARIA CHIARA BIONDI"/>
        <s v="ANDREA PORTANOVA"/>
        <s v="FRANCESCO IPPOLITO"/>
        <s v="GIULIA VOCINO"/>
        <s v="NICOLO' COPERNICO"/>
        <s v="CHIARA RAPELLI"/>
        <s v="DANTE ALIGHIERI"/>
        <s v="LEONARDO FIBONACCI"/>
        <s v="NIKOLA TESLA"/>
      </sharedItems>
    </cacheField>
  </cacheFields>
  <cacheHierarchies count="55">
    <cacheHierarchy uniqueName="[corsi].[ID CORSO]" caption="ID CORSO" attribute="1" defaultMemberUniqueName="[corsi].[ID CORSO].[All]" allUniqueName="[corsi].[ID CORSO].[All]" dimensionUniqueName="[corsi]" displayFolder="" count="0" memberValueDatatype="130" unbalanced="0"/>
    <cacheHierarchy uniqueName="[corsi].[TITOLO]" caption="TITOLO" attribute="1" defaultMemberUniqueName="[corsi].[TITOLO].[All]" allUniqueName="[corsi].[TITOLO].[All]" dimensionUniqueName="[corsi]" displayFolder="" count="0" memberValueDatatype="130" unbalanced="0"/>
    <cacheHierarchy uniqueName="[corsi].[MATERIA]" caption="MATERIA" attribute="1" defaultMemberUniqueName="[corsi].[MATERIA].[All]" allUniqueName="[corsi].[MATERIA].[All]" dimensionUniqueName="[corsi]" displayFolder="" count="0" memberValueDatatype="130" unbalanced="0"/>
    <cacheHierarchy uniqueName="[corsi].[PREZZO]" caption="PREZZO" attribute="1" defaultMemberUniqueName="[corsi].[PREZZO].[All]" allUniqueName="[corsi].[PREZZO].[All]" dimensionUniqueName="[corsi]" displayFolder="" count="0" memberValueDatatype="20" unbalanced="0"/>
    <cacheHierarchy uniqueName="[corsi].[ORE]" caption="ORE" attribute="1" defaultMemberUniqueName="[corsi].[ORE].[All]" allUniqueName="[corsi].[ORE].[All]" dimensionUniqueName="[corsi]" displayFolder="" count="0" memberValueDatatype="20" unbalanced="0"/>
    <cacheHierarchy uniqueName="[corsi].[COSTO TOTALE]" caption="COSTO TOTALE" attribute="1" defaultMemberUniqueName="[corsi].[COSTO TOTALE].[All]" allUniqueName="[corsi].[COSTO TOTALE].[All]" dimensionUniqueName="[corsi]" displayFolder="" count="0" memberValueDatatype="20" unbalanced="0"/>
    <cacheHierarchy uniqueName="[docenti].[ID DOCENTE]" caption="ID DOCENTE" attribute="1" defaultMemberUniqueName="[docenti].[ID DOCENTE].[All]" allUniqueName="[docenti].[ID DOCENTE].[All]" dimensionUniqueName="[docenti]" displayFolder="" count="0" memberValueDatatype="130" unbalanced="0"/>
    <cacheHierarchy uniqueName="[docenti].[NOME]" caption="NOME" attribute="1" defaultMemberUniqueName="[docenti].[NOME].[All]" allUniqueName="[docenti].[NOME].[All]" dimensionUniqueName="[docenti]" displayFolder="" count="0" memberValueDatatype="130" unbalanced="0"/>
    <cacheHierarchy uniqueName="[docenti].[COGNOME]" caption="COGNOME" attribute="1" defaultMemberUniqueName="[docenti].[COGNOME].[All]" allUniqueName="[docenti].[COGNOME].[All]" dimensionUniqueName="[docenti]" displayFolder="" count="0" memberValueDatatype="130" unbalanced="0"/>
    <cacheHierarchy uniqueName="[docenti].[DATA DI NASCITA]" caption="DATA DI NASCITA" attribute="1" time="1" defaultMemberUniqueName="[docenti].[DATA DI NASCITA].[All]" allUniqueName="[docenti].[DATA DI NASCITA].[All]" dimensionUniqueName="[docenti]" displayFolder="" count="0" memberValueDatatype="7" unbalanced="0"/>
    <cacheHierarchy uniqueName="[docenti].[CITTA' DI RESIDENZA]" caption="CITTA' DI RESIDENZA" attribute="1" defaultMemberUniqueName="[docenti].[CITTA' DI RESIDENZA].[All]" allUniqueName="[docenti].[CITTA' DI RESIDENZA].[All]" dimensionUniqueName="[docenti]" displayFolder="" count="0" memberValueDatatype="130" unbalanced="0"/>
    <cacheHierarchy uniqueName="[docenti].[MATERIA]" caption="MATERIA" attribute="1" defaultMemberUniqueName="[docenti].[MATERIA].[All]" allUniqueName="[docenti].[MATERIA].[All]" dimensionUniqueName="[docenti]" displayFolder="" count="0" memberValueDatatype="130" unbalanced="0"/>
    <cacheHierarchy uniqueName="[docenti].[NOMINATIVO COMPLETO]" caption="NOMINATIVO COMPLETO" attribute="1" defaultMemberUniqueName="[docenti].[NOMINATIVO COMPLETO].[All]" allUniqueName="[docenti].[NOMINATIVO COMPLETO].[All]" dimensionUniqueName="[docenti]" displayFolder="" count="0" memberValueDatatype="130" unbalanced="0"/>
    <cacheHierarchy uniqueName="[programmazione].[ID PROGRAMMAZIONE]" caption="ID PROGRAMMAZIONE" attribute="1" defaultMemberUniqueName="[programmazione].[ID PROGRAMMAZIONE].[All]" allUniqueName="[programmazione].[ID PROGRAMMAZIONE].[All]" dimensionUniqueName="[programmazione]" displayFolder="" count="0" memberValueDatatype="130" unbalanced="0"/>
    <cacheHierarchy uniqueName="[programmazione].[ID CORSO]" caption="ID CORSO" attribute="1" defaultMemberUniqueName="[programmazione].[ID CORSO].[All]" allUniqueName="[programmazione].[ID CORSO].[All]" dimensionUniqueName="[programmazione]" displayFolder="" count="0" memberValueDatatype="130" unbalanced="0"/>
    <cacheHierarchy uniqueName="[programmazione].[ID DOCENTE]" caption="ID DOCENTE" attribute="1" defaultMemberUniqueName="[programmazione].[ID DOCENTE].[All]" allUniqueName="[programmazione].[ID DOCENTE].[All]" dimensionUniqueName="[programmazione]" displayFolder="" count="2" memberValueDatatype="130" unbalanced="0">
      <fieldsUsage count="2">
        <fieldUsage x="-1"/>
        <fieldUsage x="2"/>
      </fieldsUsage>
    </cacheHierarchy>
    <cacheHierarchy uniqueName="[programmazione].[ID SEDE]" caption="ID SEDE" attribute="1" defaultMemberUniqueName="[programmazione].[ID SEDE].[All]" allUniqueName="[programmazione].[ID SEDE].[All]" dimensionUniqueName="[programmazione]" displayFolder="" count="2" memberValueDatatype="130" unbalanced="0">
      <fieldsUsage count="2">
        <fieldUsage x="-1"/>
        <fieldUsage x="1"/>
      </fieldsUsage>
    </cacheHierarchy>
    <cacheHierarchy uniqueName="[programmazione].[DATA INIZIO]" caption="DATA INIZIO" attribute="1" time="1" defaultMemberUniqueName="[programmazione].[DATA INIZIO].[All]" allUniqueName="[programmazione].[DATA INIZIO].[All]" dimensionUniqueName="[programmazione]" displayFolder="" count="0" memberValueDatatype="7" unbalanced="0"/>
    <cacheHierarchy uniqueName="[programmazione].[DATA FINE]" caption="DATA FINE" attribute="1" time="1" defaultMemberUniqueName="[programmazione].[DATA FINE].[All]" allUniqueName="[programmazione].[DATA FINE].[All]" dimensionUniqueName="[programmazione]" displayFolder="" count="0" memberValueDatatype="7" unbalanced="0"/>
    <cacheHierarchy uniqueName="[programmazione].[ORE]" caption="ORE" attribute="1" defaultMemberUniqueName="[programmazione].[ORE].[All]" allUniqueName="[programmazione].[ORE].[All]" dimensionUniqueName="[programmazione]" displayFolder="" count="0" memberValueDatatype="20" unbalanced="0"/>
    <cacheHierarchy uniqueName="[programmazione].[FATTURATO CORSO]" caption="FATTURATO CORSO" attribute="1" defaultMemberUniqueName="[programmazione].[FATTURATO CORSO].[All]" allUniqueName="[programmazione].[FATTURATO CORSO].[All]" dimensionUniqueName="[programmazione]" displayFolder="" count="0" memberValueDatatype="20" unbalanced="0"/>
    <cacheHierarchy uniqueName="[programmazione].[DATA INIZIO (mese)]" caption="DATA INIZIO (mese)" attribute="1" defaultMemberUniqueName="[programmazione].[DATA INIZIO (mese)].[All]" allUniqueName="[programmazione].[DATA INIZIO (mese)].[All]" dimensionUniqueName="[programmazione]" displayFolder="" count="0" memberValueDatatype="130" unbalanced="0"/>
    <cacheHierarchy uniqueName="[sedi].[ID SEDE]" caption="ID SEDE" attribute="1" defaultMemberUniqueName="[sedi].[ID SEDE].[All]" allUniqueName="[sedi].[ID SEDE].[All]" dimensionUniqueName="[sedi]" displayFolder="" count="0" memberValueDatatype="130" unbalanced="0"/>
    <cacheHierarchy uniqueName="[sedi].[DENOMINAZIONE]" caption="DENOMINAZIONE" attribute="1" defaultMemberUniqueName="[sedi].[DENOMINAZIONE].[All]" allUniqueName="[sedi].[DENOMINAZIONE].[All]" dimensionUniqueName="[sedi]" displayFolder="" count="0" memberValueDatatype="130" unbalanced="0"/>
    <cacheHierarchy uniqueName="[sedi].[CITTA']" caption="CITTA'" attribute="1" defaultMemberUniqueName="[sedi].[CITTA'].[All]" allUniqueName="[sedi].[CITTA'].[All]" dimensionUniqueName="[sedi]" displayFolder="" count="0" memberValueDatatype="130" unbalanced="0"/>
    <cacheHierarchy uniqueName="[sedi].[INDIRIZZO]" caption="INDIRIZZO" attribute="1" defaultMemberUniqueName="[sedi].[INDIRIZZO].[All]" allUniqueName="[sedi].[INDIRIZZO].[All]" dimensionUniqueName="[sedi]" displayFolder="" count="0" memberValueDatatype="130" unbalanced="0"/>
    <cacheHierarchy uniqueName="[sedi].[CAPIENZA]" caption="CAPIENZA" attribute="1" defaultMemberUniqueName="[sedi].[CAPIENZA].[All]" allUniqueName="[sedi].[CAPIENZA].[All]" dimensionUniqueName="[sedi]" displayFolder="" count="0" memberValueDatatype="20" unbalanced="0"/>
    <cacheHierarchy uniqueName="[programmazione].[DATA INIZIO (indice mese)]" caption="DATA INIZIO (indice mese)" attribute="1" defaultMemberUniqueName="[programmazione].[DATA INIZIO (indice mese)].[All]" allUniqueName="[programmazione].[DATA INIZIO (indice mese)].[All]" dimensionUniqueName="[programmazione]" displayFolder="" count="0" memberValueDatatype="20" unbalanced="0" hidden="1"/>
    <cacheHierarchy uniqueName="[Measures].[__XL_Count Tabella1]" caption="__XL_Count Tabella1" measure="1" displayFolder="" measureGroup="sedi" count="0" hidden="1"/>
    <cacheHierarchy uniqueName="[Measures].[__XL_Count Tabella3]" caption="__XL_Count Tabella3" measure="1" displayFolder="" measureGroup="corsi" count="0" hidden="1"/>
    <cacheHierarchy uniqueName="[Measures].[__XL_Count Tabella4]" caption="__XL_Count Tabella4" measure="1" displayFolder="" measureGroup="docenti" count="0" hidden="1"/>
    <cacheHierarchy uniqueName="[Measures].[__XL_Count Tabella5]" caption="__XL_Count Tabella5" measure="1" displayFolder="" measureGroup="programmazione" count="0" hidden="1"/>
    <cacheHierarchy uniqueName="[Measures].[__No measures defined]" caption="__No measures defined" measure="1" displayFolder="" count="0" hidden="1"/>
    <cacheHierarchy uniqueName="[Measures].[Somma di PREZZO]" caption="Somma di PREZZO" measure="1" displayFolder="" measureGroup="cors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eggio di PREZZO]" caption="Conteggio di PREZZO" measure="1" displayFolder="" measureGroup="cors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Massimo di PREZZO]" caption="Massimo di PREZZO" measure="1" displayFolder="" measureGroup="cors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Media di PREZZO]" caption="Media di PREZZO" measure="1" displayFolder="" measureGroup="cors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a di ORE]" caption="Somma di ORE" measure="1" displayFolder="" measureGroup="cors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eggio di ORE]" caption="Conteggio di ORE" measure="1" displayFolder="" measureGroup="cors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Distinct Count di ORE]" caption="Distinct Count di ORE" measure="1" displayFolder="" measureGroup="cors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omma di CAPIENZA]" caption="Somma di CAPIENZA" measure="1" displayFolder="" measureGroup="sedi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Conteggio di CAPIENZA]" caption="Conteggio di CAPIENZA" measure="1" displayFolder="" measureGroup="sedi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Dev. standard di CAPIENZA]" caption="Dev. standard di CAPIENZA" measure="1" displayFolder="" measureGroup="sedi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Distinct Count di CAPIENZA]" caption="Distinct Count di CAPIENZA" measure="1" displayFolder="" measureGroup="sedi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Massimo di CAPIENZA]" caption="Massimo di CAPIENZA" measure="1" displayFolder="" measureGroup="sedi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Varianza di ORE]" caption="Varianza di ORE" measure="1" displayFolder="" measureGroup="cors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Massimo di ORE]" caption="Massimo di ORE" measure="1" displayFolder="" measureGroup="cors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eggio di DATA INIZIO]" caption="Conteggio di DATA INIZIO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Conteggio di DATA FINE]" caption="Conteggio di DATA FINE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Distinct Count di DATA INIZIO]" caption="Distinct Count di DATA INIZIO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ma di ORE 2]" caption="Somma di ORE 2" measure="1" displayFolder="" measureGroup="programmazione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nteggio di ID DOCENTE]" caption="Conteggio di ID DOCENTE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eggio di MATERIA]" caption="Conteggio di MATERIA" measure="1" displayFolder="" measureGroup="docenti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a di COSTO TOTALE]" caption="Somma di COSTO TOTALE" measure="1" displayFolder="" measureGroup="corsi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FATTURATO CORSO]" caption="Sum of FATTURATO CORSO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</cacheHierarchies>
  <kpis count="0"/>
  <dimensions count="5">
    <dimension name="corsi" uniqueName="[corsi]" caption="corsi"/>
    <dimension name="docenti" uniqueName="[docenti]" caption="docenti"/>
    <dimension measure="1" name="Measures" uniqueName="[Measures]" caption="Measures"/>
    <dimension name="programmazione" uniqueName="[programmazione]" caption="programmazione"/>
    <dimension name="sedi" uniqueName="[sedi]" caption="sedi"/>
  </dimensions>
  <measureGroups count="4">
    <measureGroup name="corsi" caption="corsi"/>
    <measureGroup name="docenti" caption="docenti"/>
    <measureGroup name="programmazione" caption="programmazione"/>
    <measureGroup name="sedi" caption="sedi"/>
  </measureGroups>
  <maps count="7">
    <map measureGroup="0" dimension="0"/>
    <map measureGroup="1" dimension="1"/>
    <map measureGroup="2" dimension="0"/>
    <map measureGroup="2" dimension="1"/>
    <map measureGroup="2" dimension="3"/>
    <map measureGroup="2" dimension="4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Giuseppe d'Amico" refreshedDate="45020.770412268517" backgroundQuery="1" createdVersion="8" refreshedVersion="8" minRefreshableVersion="3" recordCount="0" supportSubquery="1" supportAdvancedDrill="1" xr:uid="{A0CDF84A-5554-4DC5-950E-363D33A3761F}">
  <cacheSource type="external" connectionId="1"/>
  <cacheFields count="3">
    <cacheField name="[programmazione].[ID SEDE].[ID SEDE]" caption="ID SEDE" numFmtId="0" hierarchy="16" level="1">
      <sharedItems count="4">
        <s v="ONLINE"/>
        <s v="BOLOGNA" u="1"/>
        <s v="NAPOLI" u="1"/>
        <s v="BARI" u="1"/>
      </sharedItems>
    </cacheField>
    <cacheField name="[programmazione].[ID CORSO].[ID CORSO]" caption="ID CORSO" numFmtId="0" hierarchy="14" level="1">
      <sharedItems count="16">
        <s v="FISICA 4"/>
        <s v="MATEMATICA 4" u="1"/>
        <s v="INGLESE 1" u="1"/>
        <s v="MATEMATICA 3" u="1"/>
        <s v="ITALIANO 3" u="1"/>
        <s v="ITALIANO 1" u="1"/>
        <s v="ITALIANO 4" u="1"/>
        <s v="FISICA 1" u="1"/>
        <s v="INGLESE 2" u="1"/>
        <s v="MATEMATICA 1" u="1"/>
        <s v="FISICA 2" u="1"/>
        <s v="ITALIANO 2" u="1"/>
        <s v="FISICA 3" u="1"/>
        <s v="INGLESE 3" u="1"/>
        <s v="INGLESE 4" u="1"/>
        <s v="MATEMATICA 2" u="1"/>
      </sharedItems>
    </cacheField>
    <cacheField name="[programmazione].[ID DOCENTE].[ID DOCENTE]" caption="ID DOCENTE" numFmtId="0" hierarchy="15" level="1">
      <sharedItems containsSemiMixedTypes="0" containsNonDate="0" containsString="0"/>
    </cacheField>
  </cacheFields>
  <cacheHierarchies count="55">
    <cacheHierarchy uniqueName="[corsi].[ID CORSO]" caption="ID CORSO" attribute="1" defaultMemberUniqueName="[corsi].[ID CORSO].[All]" allUniqueName="[corsi].[ID CORSO].[All]" dimensionUniqueName="[corsi]" displayFolder="" count="0" memberValueDatatype="130" unbalanced="0"/>
    <cacheHierarchy uniqueName="[corsi].[TITOLO]" caption="TITOLO" attribute="1" defaultMemberUniqueName="[corsi].[TITOLO].[All]" allUniqueName="[corsi].[TITOLO].[All]" dimensionUniqueName="[corsi]" displayFolder="" count="0" memberValueDatatype="130" unbalanced="0"/>
    <cacheHierarchy uniqueName="[corsi].[MATERIA]" caption="MATERIA" attribute="1" defaultMemberUniqueName="[corsi].[MATERIA].[All]" allUniqueName="[corsi].[MATERIA].[All]" dimensionUniqueName="[corsi]" displayFolder="" count="0" memberValueDatatype="130" unbalanced="0"/>
    <cacheHierarchy uniqueName="[corsi].[PREZZO]" caption="PREZZO" attribute="1" defaultMemberUniqueName="[corsi].[PREZZO].[All]" allUniqueName="[corsi].[PREZZO].[All]" dimensionUniqueName="[corsi]" displayFolder="" count="0" memberValueDatatype="20" unbalanced="0"/>
    <cacheHierarchy uniqueName="[corsi].[ORE]" caption="ORE" attribute="1" defaultMemberUniqueName="[corsi].[ORE].[All]" allUniqueName="[corsi].[ORE].[All]" dimensionUniqueName="[corsi]" displayFolder="" count="0" memberValueDatatype="20" unbalanced="0"/>
    <cacheHierarchy uniqueName="[corsi].[COSTO TOTALE]" caption="COSTO TOTALE" attribute="1" defaultMemberUniqueName="[corsi].[COSTO TOTALE].[All]" allUniqueName="[corsi].[COSTO TOTALE].[All]" dimensionUniqueName="[corsi]" displayFolder="" count="0" memberValueDatatype="20" unbalanced="0"/>
    <cacheHierarchy uniqueName="[docenti].[ID DOCENTE]" caption="ID DOCENTE" attribute="1" defaultMemberUniqueName="[docenti].[ID DOCENTE].[All]" allUniqueName="[docenti].[ID DOCENTE].[All]" dimensionUniqueName="[docenti]" displayFolder="" count="0" memberValueDatatype="130" unbalanced="0"/>
    <cacheHierarchy uniqueName="[docenti].[NOME]" caption="NOME" attribute="1" defaultMemberUniqueName="[docenti].[NOME].[All]" allUniqueName="[docenti].[NOME].[All]" dimensionUniqueName="[docenti]" displayFolder="" count="0" memberValueDatatype="130" unbalanced="0"/>
    <cacheHierarchy uniqueName="[docenti].[COGNOME]" caption="COGNOME" attribute="1" defaultMemberUniqueName="[docenti].[COGNOME].[All]" allUniqueName="[docenti].[COGNOME].[All]" dimensionUniqueName="[docenti]" displayFolder="" count="0" memberValueDatatype="130" unbalanced="0"/>
    <cacheHierarchy uniqueName="[docenti].[DATA DI NASCITA]" caption="DATA DI NASCITA" attribute="1" time="1" defaultMemberUniqueName="[docenti].[DATA DI NASCITA].[All]" allUniqueName="[docenti].[DATA DI NASCITA].[All]" dimensionUniqueName="[docenti]" displayFolder="" count="0" memberValueDatatype="7" unbalanced="0"/>
    <cacheHierarchy uniqueName="[docenti].[CITTA' DI RESIDENZA]" caption="CITTA' DI RESIDENZA" attribute="1" defaultMemberUniqueName="[docenti].[CITTA' DI RESIDENZA].[All]" allUniqueName="[docenti].[CITTA' DI RESIDENZA].[All]" dimensionUniqueName="[docenti]" displayFolder="" count="0" memberValueDatatype="130" unbalanced="0"/>
    <cacheHierarchy uniqueName="[docenti].[MATERIA]" caption="MATERIA" attribute="1" defaultMemberUniqueName="[docenti].[MATERIA].[All]" allUniqueName="[docenti].[MATERIA].[All]" dimensionUniqueName="[docenti]" displayFolder="" count="0" memberValueDatatype="130" unbalanced="0"/>
    <cacheHierarchy uniqueName="[docenti].[NOMINATIVO COMPLETO]" caption="NOMINATIVO COMPLETO" attribute="1" defaultMemberUniqueName="[docenti].[NOMINATIVO COMPLETO].[All]" allUniqueName="[docenti].[NOMINATIVO COMPLETO].[All]" dimensionUniqueName="[docenti]" displayFolder="" count="0" memberValueDatatype="130" unbalanced="0"/>
    <cacheHierarchy uniqueName="[programmazione].[ID PROGRAMMAZIONE]" caption="ID PROGRAMMAZIONE" attribute="1" defaultMemberUniqueName="[programmazione].[ID PROGRAMMAZIONE].[All]" allUniqueName="[programmazione].[ID PROGRAMMAZIONE].[All]" dimensionUniqueName="[programmazione]" displayFolder="" count="0" memberValueDatatype="130" unbalanced="0"/>
    <cacheHierarchy uniqueName="[programmazione].[ID CORSO]" caption="ID CORSO" attribute="1" defaultMemberUniqueName="[programmazione].[ID CORSO].[All]" allUniqueName="[programmazione].[ID CORSO].[All]" dimensionUniqueName="[programmazione]" displayFolder="" count="2" memberValueDatatype="130" unbalanced="0">
      <fieldsUsage count="2">
        <fieldUsage x="-1"/>
        <fieldUsage x="1"/>
      </fieldsUsage>
    </cacheHierarchy>
    <cacheHierarchy uniqueName="[programmazione].[ID DOCENTE]" caption="ID DOCENTE" attribute="1" defaultMemberUniqueName="[programmazione].[ID DOCENTE].[All]" allUniqueName="[programmazione].[ID DOCENTE].[All]" dimensionUniqueName="[programmazione]" displayFolder="" count="2" memberValueDatatype="130" unbalanced="0">
      <fieldsUsage count="2">
        <fieldUsage x="-1"/>
        <fieldUsage x="2"/>
      </fieldsUsage>
    </cacheHierarchy>
    <cacheHierarchy uniqueName="[programmazione].[ID SEDE]" caption="ID SEDE" attribute="1" defaultMemberUniqueName="[programmazione].[ID SEDE].[All]" allUniqueName="[programmazione].[ID SEDE].[All]" dimensionUniqueName="[programmazione]" displayFolder="" count="2" memberValueDatatype="130" unbalanced="0">
      <fieldsUsage count="2">
        <fieldUsage x="-1"/>
        <fieldUsage x="0"/>
      </fieldsUsage>
    </cacheHierarchy>
    <cacheHierarchy uniqueName="[programmazione].[DATA INIZIO]" caption="DATA INIZIO" attribute="1" time="1" defaultMemberUniqueName="[programmazione].[DATA INIZIO].[All]" allUniqueName="[programmazione].[DATA INIZIO].[All]" dimensionUniqueName="[programmazione]" displayFolder="" count="0" memberValueDatatype="7" unbalanced="0"/>
    <cacheHierarchy uniqueName="[programmazione].[DATA FINE]" caption="DATA FINE" attribute="1" time="1" defaultMemberUniqueName="[programmazione].[DATA FINE].[All]" allUniqueName="[programmazione].[DATA FINE].[All]" dimensionUniqueName="[programmazione]" displayFolder="" count="0" memberValueDatatype="7" unbalanced="0"/>
    <cacheHierarchy uniqueName="[programmazione].[ORE]" caption="ORE" attribute="1" defaultMemberUniqueName="[programmazione].[ORE].[All]" allUniqueName="[programmazione].[ORE].[All]" dimensionUniqueName="[programmazione]" displayFolder="" count="0" memberValueDatatype="20" unbalanced="0"/>
    <cacheHierarchy uniqueName="[programmazione].[FATTURATO CORSO]" caption="FATTURATO CORSO" attribute="1" defaultMemberUniqueName="[programmazione].[FATTURATO CORSO].[All]" allUniqueName="[programmazione].[FATTURATO CORSO].[All]" dimensionUniqueName="[programmazione]" displayFolder="" count="0" memberValueDatatype="20" unbalanced="0"/>
    <cacheHierarchy uniqueName="[programmazione].[DATA INIZIO (mese)]" caption="DATA INIZIO (mese)" attribute="1" defaultMemberUniqueName="[programmazione].[DATA INIZIO (mese)].[All]" allUniqueName="[programmazione].[DATA INIZIO (mese)].[All]" dimensionUniqueName="[programmazione]" displayFolder="" count="0" memberValueDatatype="130" unbalanced="0"/>
    <cacheHierarchy uniqueName="[sedi].[ID SEDE]" caption="ID SEDE" attribute="1" defaultMemberUniqueName="[sedi].[ID SEDE].[All]" allUniqueName="[sedi].[ID SEDE].[All]" dimensionUniqueName="[sedi]" displayFolder="" count="0" memberValueDatatype="130" unbalanced="0"/>
    <cacheHierarchy uniqueName="[sedi].[DENOMINAZIONE]" caption="DENOMINAZIONE" attribute="1" defaultMemberUniqueName="[sedi].[DENOMINAZIONE].[All]" allUniqueName="[sedi].[DENOMINAZIONE].[All]" dimensionUniqueName="[sedi]" displayFolder="" count="0" memberValueDatatype="130" unbalanced="0"/>
    <cacheHierarchy uniqueName="[sedi].[CITTA']" caption="CITTA'" attribute="1" defaultMemberUniqueName="[sedi].[CITTA'].[All]" allUniqueName="[sedi].[CITTA'].[All]" dimensionUniqueName="[sedi]" displayFolder="" count="0" memberValueDatatype="130" unbalanced="0"/>
    <cacheHierarchy uniqueName="[sedi].[INDIRIZZO]" caption="INDIRIZZO" attribute="1" defaultMemberUniqueName="[sedi].[INDIRIZZO].[All]" allUniqueName="[sedi].[INDIRIZZO].[All]" dimensionUniqueName="[sedi]" displayFolder="" count="0" memberValueDatatype="130" unbalanced="0"/>
    <cacheHierarchy uniqueName="[sedi].[CAPIENZA]" caption="CAPIENZA" attribute="1" defaultMemberUniqueName="[sedi].[CAPIENZA].[All]" allUniqueName="[sedi].[CAPIENZA].[All]" dimensionUniqueName="[sedi]" displayFolder="" count="0" memberValueDatatype="20" unbalanced="0"/>
    <cacheHierarchy uniqueName="[programmazione].[DATA INIZIO (indice mese)]" caption="DATA INIZIO (indice mese)" attribute="1" defaultMemberUniqueName="[programmazione].[DATA INIZIO (indice mese)].[All]" allUniqueName="[programmazione].[DATA INIZIO (indice mese)].[All]" dimensionUniqueName="[programmazione]" displayFolder="" count="0" memberValueDatatype="20" unbalanced="0" hidden="1"/>
    <cacheHierarchy uniqueName="[Measures].[__XL_Count Tabella1]" caption="__XL_Count Tabella1" measure="1" displayFolder="" measureGroup="sedi" count="0" hidden="1"/>
    <cacheHierarchy uniqueName="[Measures].[__XL_Count Tabella3]" caption="__XL_Count Tabella3" measure="1" displayFolder="" measureGroup="corsi" count="0" hidden="1"/>
    <cacheHierarchy uniqueName="[Measures].[__XL_Count Tabella4]" caption="__XL_Count Tabella4" measure="1" displayFolder="" measureGroup="docenti" count="0" hidden="1"/>
    <cacheHierarchy uniqueName="[Measures].[__XL_Count Tabella5]" caption="__XL_Count Tabella5" measure="1" displayFolder="" measureGroup="programmazione" count="0" hidden="1"/>
    <cacheHierarchy uniqueName="[Measures].[__No measures defined]" caption="__No measures defined" measure="1" displayFolder="" count="0" hidden="1"/>
    <cacheHierarchy uniqueName="[Measures].[Somma di PREZZO]" caption="Somma di PREZZO" measure="1" displayFolder="" measureGroup="cors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eggio di PREZZO]" caption="Conteggio di PREZZO" measure="1" displayFolder="" measureGroup="cors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Massimo di PREZZO]" caption="Massimo di PREZZO" measure="1" displayFolder="" measureGroup="cors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Media di PREZZO]" caption="Media di PREZZO" measure="1" displayFolder="" measureGroup="cors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a di ORE]" caption="Somma di ORE" measure="1" displayFolder="" measureGroup="cors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eggio di ORE]" caption="Conteggio di ORE" measure="1" displayFolder="" measureGroup="cors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Distinct Count di ORE]" caption="Distinct Count di ORE" measure="1" displayFolder="" measureGroup="cors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omma di CAPIENZA]" caption="Somma di CAPIENZA" measure="1" displayFolder="" measureGroup="sedi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Conteggio di CAPIENZA]" caption="Conteggio di CAPIENZA" measure="1" displayFolder="" measureGroup="sedi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Dev. standard di CAPIENZA]" caption="Dev. standard di CAPIENZA" measure="1" displayFolder="" measureGroup="sedi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Distinct Count di CAPIENZA]" caption="Distinct Count di CAPIENZA" measure="1" displayFolder="" measureGroup="sedi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Massimo di CAPIENZA]" caption="Massimo di CAPIENZA" measure="1" displayFolder="" measureGroup="sedi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Varianza di ORE]" caption="Varianza di ORE" measure="1" displayFolder="" measureGroup="cors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Massimo di ORE]" caption="Massimo di ORE" measure="1" displayFolder="" measureGroup="cors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eggio di DATA INIZIO]" caption="Conteggio di DATA INIZIO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Conteggio di DATA FINE]" caption="Conteggio di DATA FINE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Distinct Count di DATA INIZIO]" caption="Distinct Count di DATA INIZIO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ma di ORE 2]" caption="Somma di ORE 2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nteggio di ID DOCENTE]" caption="Conteggio di ID DOCENTE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eggio di MATERIA]" caption="Conteggio di MATERIA" measure="1" displayFolder="" measureGroup="docenti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a di COSTO TOTALE]" caption="Somma di COSTO TOTALE" measure="1" displayFolder="" measureGroup="corsi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FATTURATO CORSO]" caption="Sum of FATTURATO CORSO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</cacheHierarchies>
  <kpis count="0"/>
  <dimensions count="5">
    <dimension name="corsi" uniqueName="[corsi]" caption="corsi"/>
    <dimension name="docenti" uniqueName="[docenti]" caption="docenti"/>
    <dimension measure="1" name="Measures" uniqueName="[Measures]" caption="Measures"/>
    <dimension name="programmazione" uniqueName="[programmazione]" caption="programmazione"/>
    <dimension name="sedi" uniqueName="[sedi]" caption="sedi"/>
  </dimensions>
  <measureGroups count="4">
    <measureGroup name="corsi" caption="corsi"/>
    <measureGroup name="docenti" caption="docenti"/>
    <measureGroup name="programmazione" caption="programmazione"/>
    <measureGroup name="sedi" caption="sedi"/>
  </measureGroups>
  <maps count="7">
    <map measureGroup="0" dimension="0"/>
    <map measureGroup="1" dimension="1"/>
    <map measureGroup="2" dimension="0"/>
    <map measureGroup="2" dimension="1"/>
    <map measureGroup="2" dimension="3"/>
    <map measureGroup="2" dimension="4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Giuseppe d'Amico" refreshedDate="45020.770364583332" backgroundQuery="1" createdVersion="3" refreshedVersion="8" minRefreshableVersion="3" recordCount="0" supportSubquery="1" supportAdvancedDrill="1" xr:uid="{FA603517-E5C2-4874-ACAD-0B32C584B8E9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55">
    <cacheHierarchy uniqueName="[corsi].[ID CORSO]" caption="ID CORSO" attribute="1" defaultMemberUniqueName="[corsi].[ID CORSO].[All]" allUniqueName="[corsi].[ID CORSO].[All]" dimensionUniqueName="[corsi]" displayFolder="" count="0" memberValueDatatype="130" unbalanced="0"/>
    <cacheHierarchy uniqueName="[corsi].[TITOLO]" caption="TITOLO" attribute="1" defaultMemberUniqueName="[corsi].[TITOLO].[All]" allUniqueName="[corsi].[TITOLO].[All]" dimensionUniqueName="[corsi]" displayFolder="" count="0" memberValueDatatype="130" unbalanced="0"/>
    <cacheHierarchy uniqueName="[corsi].[MATERIA]" caption="MATERIA" attribute="1" defaultMemberUniqueName="[corsi].[MATERIA].[All]" allUniqueName="[corsi].[MATERIA].[All]" dimensionUniqueName="[corsi]" displayFolder="" count="2" memberValueDatatype="130" unbalanced="0"/>
    <cacheHierarchy uniqueName="[corsi].[PREZZO]" caption="PREZZO" attribute="1" defaultMemberUniqueName="[corsi].[PREZZO].[All]" allUniqueName="[corsi].[PREZZO].[All]" dimensionUniqueName="[corsi]" displayFolder="" count="2" memberValueDatatype="20" unbalanced="0"/>
    <cacheHierarchy uniqueName="[corsi].[ORE]" caption="ORE" attribute="1" defaultMemberUniqueName="[corsi].[ORE].[All]" allUniqueName="[corsi].[ORE].[All]" dimensionUniqueName="[corsi]" displayFolder="" count="2" memberValueDatatype="20" unbalanced="0"/>
    <cacheHierarchy uniqueName="[corsi].[COSTO TOTALE]" caption="COSTO TOTALE" attribute="1" defaultMemberUniqueName="[corsi].[COSTO TOTALE].[All]" allUniqueName="[corsi].[COSTO TOTALE].[All]" dimensionUniqueName="[corsi]" displayFolder="" count="2" memberValueDatatype="20" unbalanced="0"/>
    <cacheHierarchy uniqueName="[docenti].[ID DOCENTE]" caption="ID DOCENTE" attribute="1" defaultMemberUniqueName="[docenti].[ID DOCENTE].[All]" allUniqueName="[docenti].[ID DOCENTE].[All]" dimensionUniqueName="[docenti]" displayFolder="" count="0" memberValueDatatype="130" unbalanced="0"/>
    <cacheHierarchy uniqueName="[docenti].[NOME]" caption="NOME" attribute="1" defaultMemberUniqueName="[docenti].[NOME].[All]" allUniqueName="[docenti].[NOME].[All]" dimensionUniqueName="[docenti]" displayFolder="" count="0" memberValueDatatype="130" unbalanced="0"/>
    <cacheHierarchy uniqueName="[docenti].[COGNOME]" caption="COGNOME" attribute="1" defaultMemberUniqueName="[docenti].[COGNOME].[All]" allUniqueName="[docenti].[COGNOME].[All]" dimensionUniqueName="[docenti]" displayFolder="" count="0" memberValueDatatype="130" unbalanced="0"/>
    <cacheHierarchy uniqueName="[docenti].[DATA DI NASCITA]" caption="DATA DI NASCITA" attribute="1" time="1" defaultMemberUniqueName="[docenti].[DATA DI NASCITA].[All]" allUniqueName="[docenti].[DATA DI NASCITA].[All]" dimensionUniqueName="[docenti]" displayFolder="" count="0" memberValueDatatype="7" unbalanced="0"/>
    <cacheHierarchy uniqueName="[docenti].[CITTA' DI RESIDENZA]" caption="CITTA' DI RESIDENZA" attribute="1" defaultMemberUniqueName="[docenti].[CITTA' DI RESIDENZA].[All]" allUniqueName="[docenti].[CITTA' DI RESIDENZA].[All]" dimensionUniqueName="[docenti]" displayFolder="" count="0" memberValueDatatype="130" unbalanced="0"/>
    <cacheHierarchy uniqueName="[docenti].[MATERIA]" caption="MATERIA" attribute="1" defaultMemberUniqueName="[docenti].[MATERIA].[All]" allUniqueName="[docenti].[MATERIA].[All]" dimensionUniqueName="[docenti]" displayFolder="" count="0" memberValueDatatype="130" unbalanced="0"/>
    <cacheHierarchy uniqueName="[docenti].[NOMINATIVO COMPLETO]" caption="NOMINATIVO COMPLETO" attribute="1" defaultMemberUniqueName="[docenti].[NOMINATIVO COMPLETO].[All]" allUniqueName="[docenti].[NOMINATIVO COMPLETO].[All]" dimensionUniqueName="[docenti]" displayFolder="" count="0" memberValueDatatype="130" unbalanced="0"/>
    <cacheHierarchy uniqueName="[programmazione].[ID PROGRAMMAZIONE]" caption="ID PROGRAMMAZIONE" attribute="1" defaultMemberUniqueName="[programmazione].[ID PROGRAMMAZIONE].[All]" allUniqueName="[programmazione].[ID PROGRAMMAZIONE].[All]" dimensionUniqueName="[programmazione]" displayFolder="" count="0" memberValueDatatype="130" unbalanced="0"/>
    <cacheHierarchy uniqueName="[programmazione].[ID CORSO]" caption="ID CORSO" attribute="1" defaultMemberUniqueName="[programmazione].[ID CORSO].[All]" allUniqueName="[programmazione].[ID CORSO].[All]" dimensionUniqueName="[programmazione]" displayFolder="" count="0" memberValueDatatype="130" unbalanced="0"/>
    <cacheHierarchy uniqueName="[programmazione].[ID DOCENTE]" caption="ID DOCENTE" attribute="1" defaultMemberUniqueName="[programmazione].[ID DOCENTE].[All]" allUniqueName="[programmazione].[ID DOCENTE].[All]" dimensionUniqueName="[programmazione]" displayFolder="" count="2" memberValueDatatype="130" unbalanced="0"/>
    <cacheHierarchy uniqueName="[programmazione].[ID SEDE]" caption="ID SEDE" attribute="1" defaultMemberUniqueName="[programmazione].[ID SEDE].[All]" allUniqueName="[programmazione].[ID SEDE].[All]" dimensionUniqueName="[programmazione]" displayFolder="" count="0" memberValueDatatype="130" unbalanced="0"/>
    <cacheHierarchy uniqueName="[programmazione].[DATA INIZIO]" caption="DATA INIZIO" attribute="1" time="1" defaultMemberUniqueName="[programmazione].[DATA INIZIO].[All]" allUniqueName="[programmazione].[DATA INIZIO].[All]" dimensionUniqueName="[programmazione]" displayFolder="" count="0" memberValueDatatype="7" unbalanced="0"/>
    <cacheHierarchy uniqueName="[programmazione].[DATA FINE]" caption="DATA FINE" attribute="1" time="1" defaultMemberUniqueName="[programmazione].[DATA FINE].[All]" allUniqueName="[programmazione].[DATA FINE].[All]" dimensionUniqueName="[programmazione]" displayFolder="" count="0" memberValueDatatype="7" unbalanced="0"/>
    <cacheHierarchy uniqueName="[programmazione].[ORE]" caption="ORE" attribute="1" defaultMemberUniqueName="[programmazione].[ORE].[All]" allUniqueName="[programmazione].[ORE].[All]" dimensionUniqueName="[programmazione]" displayFolder="" count="2" memberValueDatatype="20" unbalanced="0"/>
    <cacheHierarchy uniqueName="[programmazione].[FATTURATO CORSO]" caption="FATTURATO CORSO" attribute="1" defaultMemberUniqueName="[programmazione].[FATTURATO CORSO].[All]" allUniqueName="[programmazione].[FATTURATO CORSO].[All]" dimensionUniqueName="[programmazione]" displayFolder="" count="2" memberValueDatatype="20" unbalanced="0"/>
    <cacheHierarchy uniqueName="[programmazione].[DATA INIZIO (mese)]" caption="DATA INIZIO (mese)" attribute="1" defaultMemberUniqueName="[programmazione].[DATA INIZIO (mese)].[All]" allUniqueName="[programmazione].[DATA INIZIO (mese)].[All]" dimensionUniqueName="[programmazione]" displayFolder="" count="0" memberValueDatatype="130" unbalanced="0"/>
    <cacheHierarchy uniqueName="[sedi].[ID SEDE]" caption="ID SEDE" attribute="1" defaultMemberUniqueName="[sedi].[ID SEDE].[All]" allUniqueName="[sedi].[ID SEDE].[All]" dimensionUniqueName="[sedi]" displayFolder="" count="0" memberValueDatatype="130" unbalanced="0"/>
    <cacheHierarchy uniqueName="[sedi].[DENOMINAZIONE]" caption="DENOMINAZIONE" attribute="1" defaultMemberUniqueName="[sedi].[DENOMINAZIONE].[All]" allUniqueName="[sedi].[DENOMINAZIONE].[All]" dimensionUniqueName="[sedi]" displayFolder="" count="0" memberValueDatatype="130" unbalanced="0"/>
    <cacheHierarchy uniqueName="[sedi].[CITTA']" caption="CITTA'" attribute="1" defaultMemberUniqueName="[sedi].[CITTA'].[All]" allUniqueName="[sedi].[CITTA'].[All]" dimensionUniqueName="[sedi]" displayFolder="" count="0" memberValueDatatype="130" unbalanced="0"/>
    <cacheHierarchy uniqueName="[sedi].[INDIRIZZO]" caption="INDIRIZZO" attribute="1" defaultMemberUniqueName="[sedi].[INDIRIZZO].[All]" allUniqueName="[sedi].[INDIRIZZO].[All]" dimensionUniqueName="[sedi]" displayFolder="" count="0" memberValueDatatype="130" unbalanced="0"/>
    <cacheHierarchy uniqueName="[sedi].[CAPIENZA]" caption="CAPIENZA" attribute="1" defaultMemberUniqueName="[sedi].[CAPIENZA].[All]" allUniqueName="[sedi].[CAPIENZA].[All]" dimensionUniqueName="[sedi]" displayFolder="" count="0" memberValueDatatype="20" unbalanced="0"/>
    <cacheHierarchy uniqueName="[programmazione].[DATA INIZIO (indice mese)]" caption="DATA INIZIO (indice mese)" attribute="1" defaultMemberUniqueName="[programmazione].[DATA INIZIO (indice mese)].[All]" allUniqueName="[programmazione].[DATA INIZIO (indice mese)].[All]" dimensionUniqueName="[programmazione]" displayFolder="" count="0" memberValueDatatype="20" unbalanced="0" hidden="1"/>
    <cacheHierarchy uniqueName="[Measures].[__XL_Count Tabella1]" caption="__XL_Count Tabella1" measure="1" displayFolder="" measureGroup="sedi" count="0" hidden="1"/>
    <cacheHierarchy uniqueName="[Measures].[__XL_Count Tabella3]" caption="__XL_Count Tabella3" measure="1" displayFolder="" measureGroup="corsi" count="0" hidden="1"/>
    <cacheHierarchy uniqueName="[Measures].[__XL_Count Tabella4]" caption="__XL_Count Tabella4" measure="1" displayFolder="" measureGroup="docenti" count="0" hidden="1"/>
    <cacheHierarchy uniqueName="[Measures].[__XL_Count Tabella5]" caption="__XL_Count Tabella5" measure="1" displayFolder="" measureGroup="programmazione" count="0" hidden="1"/>
    <cacheHierarchy uniqueName="[Measures].[__No measures defined]" caption="__No measures defined" measure="1" displayFolder="" count="0" hidden="1"/>
    <cacheHierarchy uniqueName="[Measures].[Somma di PREZZO]" caption="Somma di PREZZO" measure="1" displayFolder="" measureGroup="cors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eggio di PREZZO]" caption="Conteggio di PREZZO" measure="1" displayFolder="" measureGroup="cors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Massimo di PREZZO]" caption="Massimo di PREZZO" measure="1" displayFolder="" measureGroup="cors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Media di PREZZO]" caption="Media di PREZZO" measure="1" displayFolder="" measureGroup="cors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a di ORE]" caption="Somma di ORE" measure="1" displayFolder="" measureGroup="cors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eggio di ORE]" caption="Conteggio di ORE" measure="1" displayFolder="" measureGroup="cors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Distinct Count di ORE]" caption="Distinct Count di ORE" measure="1" displayFolder="" measureGroup="cors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omma di CAPIENZA]" caption="Somma di CAPIENZA" measure="1" displayFolder="" measureGroup="sedi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Conteggio di CAPIENZA]" caption="Conteggio di CAPIENZA" measure="1" displayFolder="" measureGroup="sedi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Dev. standard di CAPIENZA]" caption="Dev. standard di CAPIENZA" measure="1" displayFolder="" measureGroup="sedi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Distinct Count di CAPIENZA]" caption="Distinct Count di CAPIENZA" measure="1" displayFolder="" measureGroup="sedi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Massimo di CAPIENZA]" caption="Massimo di CAPIENZA" measure="1" displayFolder="" measureGroup="sedi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Varianza di ORE]" caption="Varianza di ORE" measure="1" displayFolder="" measureGroup="cors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Massimo di ORE]" caption="Massimo di ORE" measure="1" displayFolder="" measureGroup="cors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eggio di DATA INIZIO]" caption="Conteggio di DATA INIZIO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Conteggio di DATA FINE]" caption="Conteggio di DATA FINE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Distinct Count di DATA INIZIO]" caption="Distinct Count di DATA INIZIO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ma di ORE 2]" caption="Somma di ORE 2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nteggio di ID DOCENTE]" caption="Conteggio di ID DOCENTE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eggio di MATERIA]" caption="Conteggio di MATERIA" measure="1" displayFolder="" measureGroup="docenti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a di COSTO TOTALE]" caption="Somma di COSTO TOTALE" measure="1" displayFolder="" measureGroup="corsi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FATTURATO CORSO]" caption="Sum of FATTURATO CORSO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185904936"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Giuseppe d'Amico" refreshedDate="45020.770406249998" backgroundQuery="1" createdVersion="3" refreshedVersion="8" minRefreshableVersion="3" recordCount="0" supportSubquery="1" supportAdvancedDrill="1" xr:uid="{C494F29D-AAC9-494D-B2E2-E2B3965F147A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55">
    <cacheHierarchy uniqueName="[corsi].[ID CORSO]" caption="ID CORSO" attribute="1" defaultMemberUniqueName="[corsi].[ID CORSO].[All]" allUniqueName="[corsi].[ID CORSO].[All]" dimensionUniqueName="[corsi]" displayFolder="" count="0" memberValueDatatype="130" unbalanced="0"/>
    <cacheHierarchy uniqueName="[corsi].[TITOLO]" caption="TITOLO" attribute="1" defaultMemberUniqueName="[corsi].[TITOLO].[All]" allUniqueName="[corsi].[TITOLO].[All]" dimensionUniqueName="[corsi]" displayFolder="" count="0" memberValueDatatype="130" unbalanced="0"/>
    <cacheHierarchy uniqueName="[corsi].[MATERIA]" caption="MATERIA" attribute="1" defaultMemberUniqueName="[corsi].[MATERIA].[All]" allUniqueName="[corsi].[MATERIA].[All]" dimensionUniqueName="[corsi]" displayFolder="" count="0" memberValueDatatype="130" unbalanced="0"/>
    <cacheHierarchy uniqueName="[corsi].[PREZZO]" caption="PREZZO" attribute="1" defaultMemberUniqueName="[corsi].[PREZZO].[All]" allUniqueName="[corsi].[PREZZO].[All]" dimensionUniqueName="[corsi]" displayFolder="" count="0" memberValueDatatype="20" unbalanced="0"/>
    <cacheHierarchy uniqueName="[corsi].[ORE]" caption="ORE" attribute="1" defaultMemberUniqueName="[corsi].[ORE].[All]" allUniqueName="[corsi].[ORE].[All]" dimensionUniqueName="[corsi]" displayFolder="" count="0" memberValueDatatype="20" unbalanced="0"/>
    <cacheHierarchy uniqueName="[corsi].[COSTO TOTALE]" caption="COSTO TOTALE" attribute="1" defaultMemberUniqueName="[corsi].[COSTO TOTALE].[All]" allUniqueName="[corsi].[COSTO TOTALE].[All]" dimensionUniqueName="[corsi]" displayFolder="" count="0" memberValueDatatype="20" unbalanced="0"/>
    <cacheHierarchy uniqueName="[docenti].[ID DOCENTE]" caption="ID DOCENTE" attribute="1" defaultMemberUniqueName="[docenti].[ID DOCENTE].[All]" allUniqueName="[docenti].[ID DOCENTE].[All]" dimensionUniqueName="[docenti]" displayFolder="" count="0" memberValueDatatype="130" unbalanced="0"/>
    <cacheHierarchy uniqueName="[docenti].[NOME]" caption="NOME" attribute="1" defaultMemberUniqueName="[docenti].[NOME].[All]" allUniqueName="[docenti].[NOME].[All]" dimensionUniqueName="[docenti]" displayFolder="" count="0" memberValueDatatype="130" unbalanced="0"/>
    <cacheHierarchy uniqueName="[docenti].[COGNOME]" caption="COGNOME" attribute="1" defaultMemberUniqueName="[docenti].[COGNOME].[All]" allUniqueName="[docenti].[COGNOME].[All]" dimensionUniqueName="[docenti]" displayFolder="" count="0" memberValueDatatype="130" unbalanced="0"/>
    <cacheHierarchy uniqueName="[docenti].[DATA DI NASCITA]" caption="DATA DI NASCITA" attribute="1" time="1" defaultMemberUniqueName="[docenti].[DATA DI NASCITA].[All]" allUniqueName="[docenti].[DATA DI NASCITA].[All]" dimensionUniqueName="[docenti]" displayFolder="" count="0" memberValueDatatype="7" unbalanced="0"/>
    <cacheHierarchy uniqueName="[docenti].[CITTA' DI RESIDENZA]" caption="CITTA' DI RESIDENZA" attribute="1" defaultMemberUniqueName="[docenti].[CITTA' DI RESIDENZA].[All]" allUniqueName="[docenti].[CITTA' DI RESIDENZA].[All]" dimensionUniqueName="[docenti]" displayFolder="" count="0" memberValueDatatype="130" unbalanced="0"/>
    <cacheHierarchy uniqueName="[docenti].[MATERIA]" caption="MATERIA" attribute="1" defaultMemberUniqueName="[docenti].[MATERIA].[All]" allUniqueName="[docenti].[MATERIA].[All]" dimensionUniqueName="[docenti]" displayFolder="" count="0" memberValueDatatype="130" unbalanced="0"/>
    <cacheHierarchy uniqueName="[docenti].[NOMINATIVO COMPLETO]" caption="NOMINATIVO COMPLETO" attribute="1" defaultMemberUniqueName="[docenti].[NOMINATIVO COMPLETO].[All]" allUniqueName="[docenti].[NOMINATIVO COMPLETO].[All]" dimensionUniqueName="[docenti]" displayFolder="" count="0" memberValueDatatype="130" unbalanced="0"/>
    <cacheHierarchy uniqueName="[programmazione].[ID PROGRAMMAZIONE]" caption="ID PROGRAMMAZIONE" attribute="1" defaultMemberUniqueName="[programmazione].[ID PROGRAMMAZIONE].[All]" allUniqueName="[programmazione].[ID PROGRAMMAZIONE].[All]" dimensionUniqueName="[programmazione]" displayFolder="" count="0" memberValueDatatype="130" unbalanced="0"/>
    <cacheHierarchy uniqueName="[programmazione].[ID CORSO]" caption="ID CORSO" attribute="1" defaultMemberUniqueName="[programmazione].[ID CORSO].[All]" allUniqueName="[programmazione].[ID CORSO].[All]" dimensionUniqueName="[programmazione]" displayFolder="" count="0" memberValueDatatype="130" unbalanced="0"/>
    <cacheHierarchy uniqueName="[programmazione].[ID DOCENTE]" caption="ID DOCENTE" attribute="1" defaultMemberUniqueName="[programmazione].[ID DOCENTE].[All]" allUniqueName="[programmazione].[ID DOCENTE].[All]" dimensionUniqueName="[programmazione]" displayFolder="" count="2" memberValueDatatype="130" unbalanced="0"/>
    <cacheHierarchy uniqueName="[programmazione].[ID SEDE]" caption="ID SEDE" attribute="1" defaultMemberUniqueName="[programmazione].[ID SEDE].[All]" allUniqueName="[programmazione].[ID SEDE].[All]" dimensionUniqueName="[programmazione]" displayFolder="" count="0" memberValueDatatype="130" unbalanced="0"/>
    <cacheHierarchy uniqueName="[programmazione].[DATA INIZIO]" caption="DATA INIZIO" attribute="1" time="1" defaultMemberUniqueName="[programmazione].[DATA INIZIO].[All]" allUniqueName="[programmazione].[DATA INIZIO].[All]" dimensionUniqueName="[programmazione]" displayFolder="" count="0" memberValueDatatype="7" unbalanced="0"/>
    <cacheHierarchy uniqueName="[programmazione].[DATA FINE]" caption="DATA FINE" attribute="1" time="1" defaultMemberUniqueName="[programmazione].[DATA FINE].[All]" allUniqueName="[programmazione].[DATA FINE].[All]" dimensionUniqueName="[programmazione]" displayFolder="" count="0" memberValueDatatype="7" unbalanced="0"/>
    <cacheHierarchy uniqueName="[programmazione].[ORE]" caption="ORE" attribute="1" defaultMemberUniqueName="[programmazione].[ORE].[All]" allUniqueName="[programmazione].[ORE].[All]" dimensionUniqueName="[programmazione]" displayFolder="" count="0" memberValueDatatype="20" unbalanced="0"/>
    <cacheHierarchy uniqueName="[programmazione].[FATTURATO CORSO]" caption="FATTURATO CORSO" attribute="1" defaultMemberUniqueName="[programmazione].[FATTURATO CORSO].[All]" allUniqueName="[programmazione].[FATTURATO CORSO].[All]" dimensionUniqueName="[programmazione]" displayFolder="" count="0" memberValueDatatype="20" unbalanced="0"/>
    <cacheHierarchy uniqueName="[programmazione].[DATA INIZIO (mese)]" caption="DATA INIZIO (mese)" attribute="1" defaultMemberUniqueName="[programmazione].[DATA INIZIO (mese)].[All]" allUniqueName="[programmazione].[DATA INIZIO (mese)].[All]" dimensionUniqueName="[programmazione]" displayFolder="" count="0" memberValueDatatype="130" unbalanced="0"/>
    <cacheHierarchy uniqueName="[sedi].[ID SEDE]" caption="ID SEDE" attribute="1" defaultMemberUniqueName="[sedi].[ID SEDE].[All]" allUniqueName="[sedi].[ID SEDE].[All]" dimensionUniqueName="[sedi]" displayFolder="" count="0" memberValueDatatype="130" unbalanced="0"/>
    <cacheHierarchy uniqueName="[sedi].[DENOMINAZIONE]" caption="DENOMINAZIONE" attribute="1" defaultMemberUniqueName="[sedi].[DENOMINAZIONE].[All]" allUniqueName="[sedi].[DENOMINAZIONE].[All]" dimensionUniqueName="[sedi]" displayFolder="" count="0" memberValueDatatype="130" unbalanced="0"/>
    <cacheHierarchy uniqueName="[sedi].[CITTA']" caption="CITTA'" attribute="1" defaultMemberUniqueName="[sedi].[CITTA'].[All]" allUniqueName="[sedi].[CITTA'].[All]" dimensionUniqueName="[sedi]" displayFolder="" count="0" memberValueDatatype="130" unbalanced="0"/>
    <cacheHierarchy uniqueName="[sedi].[INDIRIZZO]" caption="INDIRIZZO" attribute="1" defaultMemberUniqueName="[sedi].[INDIRIZZO].[All]" allUniqueName="[sedi].[INDIRIZZO].[All]" dimensionUniqueName="[sedi]" displayFolder="" count="0" memberValueDatatype="130" unbalanced="0"/>
    <cacheHierarchy uniqueName="[sedi].[CAPIENZA]" caption="CAPIENZA" attribute="1" defaultMemberUniqueName="[sedi].[CAPIENZA].[All]" allUniqueName="[sedi].[CAPIENZA].[All]" dimensionUniqueName="[sedi]" displayFolder="" count="0" memberValueDatatype="20" unbalanced="0"/>
    <cacheHierarchy uniqueName="[programmazione].[DATA INIZIO (indice mese)]" caption="DATA INIZIO (indice mese)" attribute="1" defaultMemberUniqueName="[programmazione].[DATA INIZIO (indice mese)].[All]" allUniqueName="[programmazione].[DATA INIZIO (indice mese)].[All]" dimensionUniqueName="[programmazione]" displayFolder="" count="0" memberValueDatatype="20" unbalanced="0" hidden="1"/>
    <cacheHierarchy uniqueName="[Measures].[__XL_Count Tabella1]" caption="__XL_Count Tabella1" measure="1" displayFolder="" measureGroup="sedi" count="0" hidden="1"/>
    <cacheHierarchy uniqueName="[Measures].[__XL_Count Tabella3]" caption="__XL_Count Tabella3" measure="1" displayFolder="" measureGroup="corsi" count="0" hidden="1"/>
    <cacheHierarchy uniqueName="[Measures].[__XL_Count Tabella4]" caption="__XL_Count Tabella4" measure="1" displayFolder="" measureGroup="docenti" count="0" hidden="1"/>
    <cacheHierarchy uniqueName="[Measures].[__XL_Count Tabella5]" caption="__XL_Count Tabella5" measure="1" displayFolder="" measureGroup="programmazione" count="0" hidden="1"/>
    <cacheHierarchy uniqueName="[Measures].[__No measures defined]" caption="__No measures defined" measure="1" displayFolder="" count="0" hidden="1"/>
    <cacheHierarchy uniqueName="[Measures].[Somma di PREZZO]" caption="Somma di PREZZO" measure="1" displayFolder="" measureGroup="cors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eggio di PREZZO]" caption="Conteggio di PREZZO" measure="1" displayFolder="" measureGroup="cors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Massimo di PREZZO]" caption="Massimo di PREZZO" measure="1" displayFolder="" measureGroup="cors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Media di PREZZO]" caption="Media di PREZZO" measure="1" displayFolder="" measureGroup="cors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a di ORE]" caption="Somma di ORE" measure="1" displayFolder="" measureGroup="cors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eggio di ORE]" caption="Conteggio di ORE" measure="1" displayFolder="" measureGroup="cors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Distinct Count di ORE]" caption="Distinct Count di ORE" measure="1" displayFolder="" measureGroup="cors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omma di CAPIENZA]" caption="Somma di CAPIENZA" measure="1" displayFolder="" measureGroup="sedi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Conteggio di CAPIENZA]" caption="Conteggio di CAPIENZA" measure="1" displayFolder="" measureGroup="sedi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Dev. standard di CAPIENZA]" caption="Dev. standard di CAPIENZA" measure="1" displayFolder="" measureGroup="sedi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Distinct Count di CAPIENZA]" caption="Distinct Count di CAPIENZA" measure="1" displayFolder="" measureGroup="sedi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Massimo di CAPIENZA]" caption="Massimo di CAPIENZA" measure="1" displayFolder="" measureGroup="sedi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Varianza di ORE]" caption="Varianza di ORE" measure="1" displayFolder="" measureGroup="cors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Massimo di ORE]" caption="Massimo di ORE" measure="1" displayFolder="" measureGroup="cors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eggio di DATA INIZIO]" caption="Conteggio di DATA INIZIO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Conteggio di DATA FINE]" caption="Conteggio di DATA FINE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Distinct Count di DATA INIZIO]" caption="Distinct Count di DATA INIZIO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ma di ORE 2]" caption="Somma di ORE 2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nteggio di ID DOCENTE]" caption="Conteggio di ID DOCENTE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eggio di MATERIA]" caption="Conteggio di MATERIA" measure="1" displayFolder="" measureGroup="docenti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a di COSTO TOTALE]" caption="Somma di COSTO TOTALE" measure="1" displayFolder="" measureGroup="corsi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FATTURATO CORSO]" caption="Sum of FATTURATO CORSO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142209870"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Giuseppe d'Amico" refreshedDate="45020.770388657409" createdVersion="5" refreshedVersion="8" minRefreshableVersion="3" recordCount="0" supportSubquery="1" supportAdvancedDrill="1" xr:uid="{0199463F-1A9A-4F24-B55E-E41757FF5327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2">
    <cacheField name="[programmazione].[ID DOCENTE].[ID DOCENTE]" caption="ID DOCENTE" numFmtId="0" hierarchy="15" level="1">
      <sharedItems containsSemiMixedTypes="0" containsNonDate="0" containsString="0"/>
    </cacheField>
    <cacheField name="[corsi].[ORE].[ORE]" caption="ORE" numFmtId="0" hierarchy="4" level="1">
      <sharedItems containsSemiMixedTypes="0" containsNonDate="0" containsString="0"/>
    </cacheField>
  </cacheFields>
  <cacheHierarchies count="55">
    <cacheHierarchy uniqueName="[corsi].[ID CORSO]" caption="ID CORSO" attribute="1" defaultMemberUniqueName="[corsi].[ID CORSO].[All]" allUniqueName="[corsi].[ID CORSO].[All]" dimensionUniqueName="[corsi]" displayFolder="" count="0" memberValueDatatype="130" unbalanced="0"/>
    <cacheHierarchy uniqueName="[corsi].[TITOLO]" caption="TITOLO" attribute="1" defaultMemberUniqueName="[corsi].[TITOLO].[All]" allUniqueName="[corsi].[TITOLO].[All]" dimensionUniqueName="[corsi]" displayFolder="" count="0" memberValueDatatype="130" unbalanced="0"/>
    <cacheHierarchy uniqueName="[corsi].[MATERIA]" caption="MATERIA" attribute="1" defaultMemberUniqueName="[corsi].[MATERIA].[All]" allUniqueName="[corsi].[MATERIA].[All]" dimensionUniqueName="[corsi]" displayFolder="" count="0" memberValueDatatype="130" unbalanced="0"/>
    <cacheHierarchy uniqueName="[corsi].[PREZZO]" caption="PREZZO" attribute="1" defaultMemberUniqueName="[corsi].[PREZZO].[All]" allUniqueName="[corsi].[PREZZO].[All]" dimensionUniqueName="[corsi]" displayFolder="" count="0" memberValueDatatype="20" unbalanced="0"/>
    <cacheHierarchy uniqueName="[corsi].[ORE]" caption="ORE" attribute="1" defaultMemberUniqueName="[corsi].[ORE].[All]" allUniqueName="[corsi].[ORE].[All]" dimensionUniqueName="[corsi]" displayFolder="" count="2" memberValueDatatype="20" unbalanced="0">
      <fieldsUsage count="2">
        <fieldUsage x="-1"/>
        <fieldUsage x="1"/>
      </fieldsUsage>
    </cacheHierarchy>
    <cacheHierarchy uniqueName="[corsi].[COSTO TOTALE]" caption="COSTO TOTALE" attribute="1" defaultMemberUniqueName="[corsi].[COSTO TOTALE].[All]" allUniqueName="[corsi].[COSTO TOTALE].[All]" dimensionUniqueName="[corsi]" displayFolder="" count="0" memberValueDatatype="20" unbalanced="0"/>
    <cacheHierarchy uniqueName="[docenti].[ID DOCENTE]" caption="ID DOCENTE" attribute="1" defaultMemberUniqueName="[docenti].[ID DOCENTE].[All]" allUniqueName="[docenti].[ID DOCENTE].[All]" dimensionUniqueName="[docenti]" displayFolder="" count="0" memberValueDatatype="130" unbalanced="0"/>
    <cacheHierarchy uniqueName="[docenti].[NOME]" caption="NOME" attribute="1" defaultMemberUniqueName="[docenti].[NOME].[All]" allUniqueName="[docenti].[NOME].[All]" dimensionUniqueName="[docenti]" displayFolder="" count="0" memberValueDatatype="130" unbalanced="0"/>
    <cacheHierarchy uniqueName="[docenti].[COGNOME]" caption="COGNOME" attribute="1" defaultMemberUniqueName="[docenti].[COGNOME].[All]" allUniqueName="[docenti].[COGNOME].[All]" dimensionUniqueName="[docenti]" displayFolder="" count="0" memberValueDatatype="130" unbalanced="0"/>
    <cacheHierarchy uniqueName="[docenti].[DATA DI NASCITA]" caption="DATA DI NASCITA" attribute="1" time="1" defaultMemberUniqueName="[docenti].[DATA DI NASCITA].[All]" allUniqueName="[docenti].[DATA DI NASCITA].[All]" dimensionUniqueName="[docenti]" displayFolder="" count="0" memberValueDatatype="7" unbalanced="0"/>
    <cacheHierarchy uniqueName="[docenti].[CITTA' DI RESIDENZA]" caption="CITTA' DI RESIDENZA" attribute="1" defaultMemberUniqueName="[docenti].[CITTA' DI RESIDENZA].[All]" allUniqueName="[docenti].[CITTA' DI RESIDENZA].[All]" dimensionUniqueName="[docenti]" displayFolder="" count="0" memberValueDatatype="130" unbalanced="0"/>
    <cacheHierarchy uniqueName="[docenti].[MATERIA]" caption="MATERIA" attribute="1" defaultMemberUniqueName="[docenti].[MATERIA].[All]" allUniqueName="[docenti].[MATERIA].[All]" dimensionUniqueName="[docenti]" displayFolder="" count="0" memberValueDatatype="130" unbalanced="0"/>
    <cacheHierarchy uniqueName="[docenti].[NOMINATIVO COMPLETO]" caption="NOMINATIVO COMPLETO" attribute="1" defaultMemberUniqueName="[docenti].[NOMINATIVO COMPLETO].[All]" allUniqueName="[docenti].[NOMINATIVO COMPLETO].[All]" dimensionUniqueName="[docenti]" displayFolder="" count="0" memberValueDatatype="130" unbalanced="0"/>
    <cacheHierarchy uniqueName="[programmazione].[ID PROGRAMMAZIONE]" caption="ID PROGRAMMAZIONE" attribute="1" defaultMemberUniqueName="[programmazione].[ID PROGRAMMAZIONE].[All]" allUniqueName="[programmazione].[ID PROGRAMMAZIONE].[All]" dimensionUniqueName="[programmazione]" displayFolder="" count="0" memberValueDatatype="130" unbalanced="0"/>
    <cacheHierarchy uniqueName="[programmazione].[ID CORSO]" caption="ID CORSO" attribute="1" defaultMemberUniqueName="[programmazione].[ID CORSO].[All]" allUniqueName="[programmazione].[ID CORSO].[All]" dimensionUniqueName="[programmazione]" displayFolder="" count="0" memberValueDatatype="130" unbalanced="0"/>
    <cacheHierarchy uniqueName="[programmazione].[ID DOCENTE]" caption="ID DOCENTE" attribute="1" defaultMemberUniqueName="[programmazione].[ID DOCENTE].[All]" allUniqueName="[programmazione].[ID DOCENTE].[All]" dimensionUniqueName="[programmazione]" displayFolder="" count="2" memberValueDatatype="130" unbalanced="0">
      <fieldsUsage count="2">
        <fieldUsage x="-1"/>
        <fieldUsage x="0"/>
      </fieldsUsage>
    </cacheHierarchy>
    <cacheHierarchy uniqueName="[programmazione].[ID SEDE]" caption="ID SEDE" attribute="1" defaultMemberUniqueName="[programmazione].[ID SEDE].[All]" allUniqueName="[programmazione].[ID SEDE].[All]" dimensionUniqueName="[programmazione]" displayFolder="" count="0" memberValueDatatype="130" unbalanced="0"/>
    <cacheHierarchy uniqueName="[programmazione].[DATA INIZIO]" caption="DATA INIZIO" attribute="1" time="1" defaultMemberUniqueName="[programmazione].[DATA INIZIO].[All]" allUniqueName="[programmazione].[DATA INIZIO].[All]" dimensionUniqueName="[programmazione]" displayFolder="" count="0" memberValueDatatype="7" unbalanced="0"/>
    <cacheHierarchy uniqueName="[programmazione].[DATA FINE]" caption="DATA FINE" attribute="1" time="1" defaultMemberUniqueName="[programmazione].[DATA FINE].[All]" allUniqueName="[programmazione].[DATA FINE].[All]" dimensionUniqueName="[programmazione]" displayFolder="" count="0" memberValueDatatype="7" unbalanced="0"/>
    <cacheHierarchy uniqueName="[programmazione].[ORE]" caption="ORE" attribute="1" defaultMemberUniqueName="[programmazione].[ORE].[All]" allUniqueName="[programmazione].[ORE].[All]" dimensionUniqueName="[programmazione]" displayFolder="" count="0" memberValueDatatype="20" unbalanced="0"/>
    <cacheHierarchy uniqueName="[programmazione].[FATTURATO CORSO]" caption="FATTURATO CORSO" attribute="1" defaultMemberUniqueName="[programmazione].[FATTURATO CORSO].[All]" allUniqueName="[programmazione].[FATTURATO CORSO].[All]" dimensionUniqueName="[programmazione]" displayFolder="" count="0" memberValueDatatype="20" unbalanced="0"/>
    <cacheHierarchy uniqueName="[programmazione].[DATA INIZIO (mese)]" caption="DATA INIZIO (mese)" attribute="1" defaultMemberUniqueName="[programmazione].[DATA INIZIO (mese)].[All]" allUniqueName="[programmazione].[DATA INIZIO (mese)].[All]" dimensionUniqueName="[programmazione]" displayFolder="" count="0" memberValueDatatype="130" unbalanced="0"/>
    <cacheHierarchy uniqueName="[sedi].[ID SEDE]" caption="ID SEDE" attribute="1" defaultMemberUniqueName="[sedi].[ID SEDE].[All]" allUniqueName="[sedi].[ID SEDE].[All]" dimensionUniqueName="[sedi]" displayFolder="" count="0" memberValueDatatype="130" unbalanced="0"/>
    <cacheHierarchy uniqueName="[sedi].[DENOMINAZIONE]" caption="DENOMINAZIONE" attribute="1" defaultMemberUniqueName="[sedi].[DENOMINAZIONE].[All]" allUniqueName="[sedi].[DENOMINAZIONE].[All]" dimensionUniqueName="[sedi]" displayFolder="" count="0" memberValueDatatype="130" unbalanced="0"/>
    <cacheHierarchy uniqueName="[sedi].[CITTA']" caption="CITTA'" attribute="1" defaultMemberUniqueName="[sedi].[CITTA'].[All]" allUniqueName="[sedi].[CITTA'].[All]" dimensionUniqueName="[sedi]" displayFolder="" count="0" memberValueDatatype="130" unbalanced="0"/>
    <cacheHierarchy uniqueName="[sedi].[INDIRIZZO]" caption="INDIRIZZO" attribute="1" defaultMemberUniqueName="[sedi].[INDIRIZZO].[All]" allUniqueName="[sedi].[INDIRIZZO].[All]" dimensionUniqueName="[sedi]" displayFolder="" count="0" memberValueDatatype="130" unbalanced="0"/>
    <cacheHierarchy uniqueName="[sedi].[CAPIENZA]" caption="CAPIENZA" attribute="1" defaultMemberUniqueName="[sedi].[CAPIENZA].[All]" allUniqueName="[sedi].[CAPIENZA].[All]" dimensionUniqueName="[sedi]" displayFolder="" count="0" memberValueDatatype="20" unbalanced="0"/>
    <cacheHierarchy uniqueName="[programmazione].[DATA INIZIO (indice mese)]" caption="DATA INIZIO (indice mese)" attribute="1" defaultMemberUniqueName="[programmazione].[DATA INIZIO (indice mese)].[All]" allUniqueName="[programmazione].[DATA INIZIO (indice mese)].[All]" dimensionUniqueName="[programmazione]" displayFolder="" count="0" memberValueDatatype="20" unbalanced="0" hidden="1"/>
    <cacheHierarchy uniqueName="[Measures].[__XL_Count Tabella1]" caption="__XL_Count Tabella1" measure="1" displayFolder="" measureGroup="sedi" count="0" hidden="1"/>
    <cacheHierarchy uniqueName="[Measures].[__XL_Count Tabella3]" caption="__XL_Count Tabella3" measure="1" displayFolder="" measureGroup="corsi" count="0" hidden="1"/>
    <cacheHierarchy uniqueName="[Measures].[__XL_Count Tabella4]" caption="__XL_Count Tabella4" measure="1" displayFolder="" measureGroup="docenti" count="0" hidden="1"/>
    <cacheHierarchy uniqueName="[Measures].[__XL_Count Tabella5]" caption="__XL_Count Tabella5" measure="1" displayFolder="" measureGroup="programmazione" count="0" hidden="1"/>
    <cacheHierarchy uniqueName="[Measures].[__No measures defined]" caption="__No measures defined" measure="1" displayFolder="" count="0" hidden="1"/>
    <cacheHierarchy uniqueName="[Measures].[Somma di PREZZO]" caption="Somma di PREZZO" measure="1" displayFolder="" measureGroup="cors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eggio di PREZZO]" caption="Conteggio di PREZZO" measure="1" displayFolder="" measureGroup="cors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Massimo di PREZZO]" caption="Massimo di PREZZO" measure="1" displayFolder="" measureGroup="cors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Media di PREZZO]" caption="Media di PREZZO" measure="1" displayFolder="" measureGroup="cors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a di ORE]" caption="Somma di ORE" measure="1" displayFolder="" measureGroup="cors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eggio di ORE]" caption="Conteggio di ORE" measure="1" displayFolder="" measureGroup="cors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Distinct Count di ORE]" caption="Distinct Count di ORE" measure="1" displayFolder="" measureGroup="cors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omma di CAPIENZA]" caption="Somma di CAPIENZA" measure="1" displayFolder="" measureGroup="sedi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Conteggio di CAPIENZA]" caption="Conteggio di CAPIENZA" measure="1" displayFolder="" measureGroup="sedi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Dev. standard di CAPIENZA]" caption="Dev. standard di CAPIENZA" measure="1" displayFolder="" measureGroup="sedi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Distinct Count di CAPIENZA]" caption="Distinct Count di CAPIENZA" measure="1" displayFolder="" measureGroup="sedi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Massimo di CAPIENZA]" caption="Massimo di CAPIENZA" measure="1" displayFolder="" measureGroup="sedi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Varianza di ORE]" caption="Varianza di ORE" measure="1" displayFolder="" measureGroup="cors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Massimo di ORE]" caption="Massimo di ORE" measure="1" displayFolder="" measureGroup="cors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eggio di DATA INIZIO]" caption="Conteggio di DATA INIZIO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Conteggio di DATA FINE]" caption="Conteggio di DATA FINE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Distinct Count di DATA INIZIO]" caption="Distinct Count di DATA INIZIO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ma di ORE 2]" caption="Somma di ORE 2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nteggio di ID DOCENTE]" caption="Conteggio di ID DOCENTE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eggio di MATERIA]" caption="Conteggio di MATERIA" measure="1" displayFolder="" measureGroup="docenti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a di COSTO TOTALE]" caption="Somma di COSTO TOTALE" measure="1" displayFolder="" measureGroup="corsi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FATTURATO CORSO]" caption="Sum of FATTURATO CORSO" measure="1" displayFolder="" measureGroup="programmazione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</cacheHierarchies>
  <kpis count="0"/>
  <dimensions count="5">
    <dimension name="corsi" uniqueName="[corsi]" caption="corsi"/>
    <dimension name="docenti" uniqueName="[docenti]" caption="docenti"/>
    <dimension measure="1" name="Measures" uniqueName="[Measures]" caption="Measures"/>
    <dimension name="programmazione" uniqueName="[programmazione]" caption="programmazione"/>
    <dimension name="sedi" uniqueName="[sedi]" caption="sedi"/>
  </dimensions>
  <measureGroups count="4">
    <measureGroup name="corsi" caption="corsi"/>
    <measureGroup name="docenti" caption="docenti"/>
    <measureGroup name="programmazione" caption="programmazione"/>
    <measureGroup name="sedi" caption="sedi"/>
  </measureGroups>
  <maps count="7">
    <map measureGroup="0" dimension="0"/>
    <map measureGroup="1" dimension="1"/>
    <map measureGroup="2" dimension="0"/>
    <map measureGroup="2" dimension="1"/>
    <map measureGroup="2" dimension="3"/>
    <map measureGroup="2" dimension="4"/>
    <map measureGroup="3" dimension="4"/>
  </maps>
  <extLst>
    <ext xmlns:x14="http://schemas.microsoft.com/office/spreadsheetml/2009/9/main" uri="{725AE2AE-9491-48be-B2B4-4EB974FC3084}">
      <x14:pivotCacheDefinition pivotCacheId="644385219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D28850-9D6A-444B-82AE-7CAB5EB61C8B}" name="PivotChartTable4" cacheId="36" applyNumberFormats="0" applyBorderFormats="0" applyFontFormats="0" applyPatternFormats="0" applyAlignmentFormats="0" applyWidthHeightFormats="1" dataCaption="Valori" updatedVersion="8" minRefreshableVersion="3" useAutoFormatting="1" subtotalHiddenItems="1" itemPrintTitles="1" createdVersion="5" indent="0" outline="1" outlineData="1" multipleFieldFilters="0" chartFormat="1">
  <location ref="A1:C18" firstHeaderRow="1" firstDataRow="1" firstDataCol="0"/>
  <pivotFields count="2"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pivotHierarchies count="55"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F1B165-513E-469C-9B37-3996CFFD6D26}" name="Tabella pivot5" cacheId="49" applyNumberFormats="0" applyBorderFormats="0" applyFontFormats="0" applyPatternFormats="0" applyAlignmentFormats="0" applyWidthHeightFormats="1" dataCaption="Valori" tag="d55217bf-4102-401a-8f30-3567c5fae450" updatedVersion="8" minRefreshableVersion="3" showDrill="0" useAutoFormatting="1" subtotalHiddenItems="1" rowGrandTotals="0" colGrandTotals="0" itemPrintTitles="1" createdVersion="8" indent="0" showHeaders="0" compact="0" compactData="0" multipleFieldFilters="0">
  <location ref="D13:E13" firstHeaderRow="0" firstDataRow="0" firstDataCol="2" rowPageCount="1" colPageCount="1"/>
  <pivotFields count="3">
    <pivotField axis="axisRow" compact="0" allDrilled="1" outline="0" showAll="0" dataSourceSort="1" defaultSubtotal="0" defaultAttributeDrillState="1">
      <items count="4">
        <item x="0"/>
        <item x="1"/>
        <item x="2"/>
        <item x="3"/>
      </items>
    </pivotField>
    <pivotField axis="axisRow" compact="0" allDrilled="1" outline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name="SCEGLI DOCENTE" axis="axisPage" compact="0" allDrilled="1" outline="0" showAll="0" dataSourceSort="1" defaultSubtotal="0" defaultAttributeDrillState="1"/>
  </pivotFields>
  <rowFields count="2">
    <field x="0"/>
    <field x="1"/>
  </rowFields>
  <rowItems count="1">
    <i>
      <x/>
      <x/>
    </i>
  </rowItems>
  <pageFields count="1">
    <pageField fld="2" hier="15" name="[programmazione].[ID DOCENTE].&amp;[NIKOLA TESLA]" cap="NIKOLA TESLA"/>
  </pageFields>
  <formats count="64">
    <format dxfId="232">
      <pivotArea type="all" dataOnly="0" outline="0" fieldPosition="0"/>
    </format>
    <format dxfId="231">
      <pivotArea dataOnly="0" labelOnly="1" outline="0" fieldPosition="0">
        <references count="1">
          <reference field="0" count="0"/>
        </references>
      </pivotArea>
    </format>
    <format dxfId="230">
      <pivotArea dataOnly="0" labelOnly="1" outline="0" fieldPosition="0">
        <references count="2">
          <reference field="0" count="1" selected="0">
            <x v="3"/>
          </reference>
          <reference field="1" count="0"/>
        </references>
      </pivotArea>
    </format>
    <format dxfId="229">
      <pivotArea dataOnly="0" labelOnly="1" outline="0" fieldPosition="0">
        <references count="2">
          <reference field="0" count="1" selected="0">
            <x v="2"/>
          </reference>
          <reference field="1" count="0"/>
        </references>
      </pivotArea>
    </format>
    <format dxfId="228">
      <pivotArea type="all" dataOnly="0" outline="0" fieldPosition="0"/>
    </format>
    <format dxfId="227">
      <pivotArea dataOnly="0" labelOnly="1" outline="0" fieldPosition="0">
        <references count="1">
          <reference field="0" count="0"/>
        </references>
      </pivotArea>
    </format>
    <format dxfId="226">
      <pivotArea dataOnly="0" labelOnly="1" outline="0" fieldPosition="0">
        <references count="2">
          <reference field="0" count="1" selected="0">
            <x v="3"/>
          </reference>
          <reference field="1" count="0"/>
        </references>
      </pivotArea>
    </format>
    <format dxfId="225">
      <pivotArea dataOnly="0" labelOnly="1" outline="0" fieldPosition="0">
        <references count="2">
          <reference field="0" count="1" selected="0">
            <x v="2"/>
          </reference>
          <reference field="1" count="0"/>
        </references>
      </pivotArea>
    </format>
    <format dxfId="224">
      <pivotArea type="all" dataOnly="0" outline="0" fieldPosition="0"/>
    </format>
    <format dxfId="223">
      <pivotArea dataOnly="0" labelOnly="1" outline="0" fieldPosition="0">
        <references count="1">
          <reference field="0" count="2">
            <x v="0"/>
            <x v="3"/>
          </reference>
        </references>
      </pivotArea>
    </format>
    <format dxfId="222">
      <pivotArea dataOnly="0" labelOnly="1" outline="0" fieldPosition="0">
        <references count="2">
          <reference field="0" count="1" selected="0">
            <x v="3"/>
          </reference>
          <reference field="1" count="1">
            <x v="7"/>
          </reference>
        </references>
      </pivotArea>
    </format>
    <format dxfId="221">
      <pivotArea dataOnly="0" labelOnly="1" outline="0" fieldPosition="0">
        <references count="1">
          <reference field="2" count="0"/>
        </references>
      </pivotArea>
    </format>
    <format dxfId="220">
      <pivotArea field="2" type="button" dataOnly="0" labelOnly="1" outline="0" axis="axisPage" fieldPosition="0"/>
    </format>
    <format dxfId="219">
      <pivotArea field="2" type="button" dataOnly="0" labelOnly="1" outline="0" axis="axisPage" fieldPosition="0"/>
    </format>
    <format dxfId="218">
      <pivotArea dataOnly="0" labelOnly="1" outline="0" fieldPosition="0">
        <references count="1">
          <reference field="2" count="0"/>
        </references>
      </pivotArea>
    </format>
    <format dxfId="217">
      <pivotArea field="2" type="button" dataOnly="0" labelOnly="1" outline="0" axis="axisPage" fieldPosition="0"/>
    </format>
    <format dxfId="216">
      <pivotArea field="2" type="button" dataOnly="0" labelOnly="1" outline="0" axis="axisPage" fieldPosition="0"/>
    </format>
    <format dxfId="215">
      <pivotArea field="2" type="button" dataOnly="0" labelOnly="1" outline="0" axis="axisPage" fieldPosition="0"/>
    </format>
    <format dxfId="214">
      <pivotArea field="2" type="button" dataOnly="0" labelOnly="1" outline="0" axis="axisPage" fieldPosition="0"/>
    </format>
    <format dxfId="213">
      <pivotArea field="2" type="button" dataOnly="0" labelOnly="1" outline="0" axis="axisPage" fieldPosition="0"/>
    </format>
    <format dxfId="212">
      <pivotArea field="2" type="button" dataOnly="0" labelOnly="1" outline="0" axis="axisPage" fieldPosition="0"/>
    </format>
    <format dxfId="211">
      <pivotArea type="all" dataOnly="0" outline="0" fieldPosition="0"/>
    </format>
    <format dxfId="210">
      <pivotArea dataOnly="0" labelOnly="1" outline="0" fieldPosition="0">
        <references count="1">
          <reference field="0" count="0"/>
        </references>
      </pivotArea>
    </format>
    <format dxfId="209">
      <pivotArea dataOnly="0" labelOnly="1" outline="0" fieldPosition="0">
        <references count="2">
          <reference field="0" count="1" selected="0">
            <x v="2"/>
          </reference>
          <reference field="1" count="3">
            <x v="8"/>
            <x v="10"/>
            <x v="11"/>
          </reference>
        </references>
      </pivotArea>
    </format>
    <format dxfId="208">
      <pivotArea dataOnly="0" labelOnly="1" outline="0" fieldPosition="0">
        <references count="2">
          <reference field="0" count="1" selected="0">
            <x v="0"/>
          </reference>
          <reference field="1" count="2">
            <x v="4"/>
            <x v="11"/>
          </reference>
        </references>
      </pivotArea>
    </format>
    <format dxfId="207">
      <pivotArea dataOnly="0" labelOnly="1" outline="0" fieldPosition="0">
        <references count="1">
          <reference field="0" count="1">
            <x v="3"/>
          </reference>
        </references>
      </pivotArea>
    </format>
    <format dxfId="206">
      <pivotArea dataOnly="0" labelOnly="1" outline="0" fieldPosition="0">
        <references count="1">
          <reference field="0" count="1">
            <x v="1"/>
          </reference>
        </references>
      </pivotArea>
    </format>
    <format dxfId="205">
      <pivotArea dataOnly="0" labelOnly="1" outline="0" fieldPosition="0">
        <references count="1">
          <reference field="0" count="1">
            <x v="2"/>
          </reference>
        </references>
      </pivotArea>
    </format>
    <format dxfId="204">
      <pivotArea dataOnly="0" labelOnly="1" outline="0" fieldPosition="0">
        <references count="2">
          <reference field="0" count="1" selected="0">
            <x v="2"/>
          </reference>
          <reference field="1" count="3">
            <x v="8"/>
            <x v="10"/>
            <x v="11"/>
          </reference>
        </references>
      </pivotArea>
    </format>
    <format dxfId="203">
      <pivotArea dataOnly="0" labelOnly="1" outline="0" offset="IV256" fieldPosition="0">
        <references count="1">
          <reference field="0" count="1">
            <x v="3"/>
          </reference>
        </references>
      </pivotArea>
    </format>
    <format dxfId="202">
      <pivotArea dataOnly="0" labelOnly="1" outline="0" offset="IV256" fieldPosition="0">
        <references count="1">
          <reference field="0" count="1">
            <x v="1"/>
          </reference>
        </references>
      </pivotArea>
    </format>
    <format dxfId="201">
      <pivotArea dataOnly="0" labelOnly="1" outline="0" offset="IV256" fieldPosition="0">
        <references count="1">
          <reference field="0" count="1">
            <x v="2"/>
          </reference>
        </references>
      </pivotArea>
    </format>
    <format dxfId="200">
      <pivotArea dataOnly="0" labelOnly="1" outline="0" fieldPosition="0">
        <references count="2">
          <reference field="0" count="1" selected="0">
            <x v="2"/>
          </reference>
          <reference field="1" count="3">
            <x v="8"/>
            <x v="10"/>
            <x v="11"/>
          </reference>
        </references>
      </pivotArea>
    </format>
    <format dxfId="199">
      <pivotArea dataOnly="0" labelOnly="1" outline="0" offset="IV256" fieldPosition="0">
        <references count="1">
          <reference field="0" count="1">
            <x v="0"/>
          </reference>
        </references>
      </pivotArea>
    </format>
    <format dxfId="198">
      <pivotArea dataOnly="0" labelOnly="1" outline="0" fieldPosition="0">
        <references count="2">
          <reference field="0" count="1" selected="0">
            <x v="0"/>
          </reference>
          <reference field="1" count="2">
            <x v="4"/>
            <x v="11"/>
          </reference>
        </references>
      </pivotArea>
    </format>
    <format dxfId="197">
      <pivotArea field="2" type="button" dataOnly="0" labelOnly="1" outline="0" axis="axisPage" fieldPosition="0"/>
    </format>
    <format dxfId="196">
      <pivotArea field="2" type="button" dataOnly="0" labelOnly="1" outline="0" axis="axisPage" fieldPosition="0"/>
    </format>
    <format dxfId="195">
      <pivotArea type="all" dataOnly="0" outline="0" fieldPosition="0"/>
    </format>
    <format dxfId="194">
      <pivotArea field="2" type="button" dataOnly="0" labelOnly="1" outline="0" axis="axisPage" fieldPosition="0"/>
    </format>
    <format dxfId="193">
      <pivotArea dataOnly="0" labelOnly="1" outline="0" fieldPosition="0">
        <references count="2">
          <reference field="0" count="1" selected="0">
            <x v="3"/>
          </reference>
          <reference field="1" count="4">
            <x v="4"/>
            <x v="7"/>
            <x v="8"/>
            <x v="9"/>
          </reference>
        </references>
      </pivotArea>
    </format>
    <format dxfId="192">
      <pivotArea dataOnly="0" labelOnly="1" outline="0" fieldPosition="0">
        <references count="2">
          <reference field="0" count="1" selected="0">
            <x v="1"/>
          </reference>
          <reference field="1" count="4">
            <x v="1"/>
            <x v="2"/>
            <x v="10"/>
            <x v="11"/>
          </reference>
        </references>
      </pivotArea>
    </format>
    <format dxfId="191">
      <pivotArea dataOnly="0" labelOnly="1" outline="0" fieldPosition="0">
        <references count="2">
          <reference field="0" count="1" selected="0">
            <x v="2"/>
          </reference>
          <reference field="1" count="4">
            <x v="3"/>
            <x v="6"/>
            <x v="12"/>
            <x v="13"/>
          </reference>
        </references>
      </pivotArea>
    </format>
    <format dxfId="190">
      <pivotArea dataOnly="0" labelOnly="1" outline="0" fieldPosition="0">
        <references count="2">
          <reference field="0" count="1" selected="0">
            <x v="0"/>
          </reference>
          <reference field="1" count="4">
            <x v="0"/>
            <x v="5"/>
            <x v="14"/>
            <x v="15"/>
          </reference>
        </references>
      </pivotArea>
    </format>
    <format dxfId="189">
      <pivotArea dataOnly="0" labelOnly="1" outline="0" fieldPosition="0">
        <references count="1">
          <reference field="0" count="0"/>
        </references>
      </pivotArea>
    </format>
    <format dxfId="188">
      <pivotArea dataOnly="0" labelOnly="1" outline="0" fieldPosition="0">
        <references count="1">
          <reference field="0" count="0"/>
        </references>
      </pivotArea>
    </format>
    <format dxfId="187">
      <pivotArea dataOnly="0" labelOnly="1" outline="0" fieldPosition="0">
        <references count="1">
          <reference field="0" count="0"/>
        </references>
      </pivotArea>
    </format>
    <format dxfId="186">
      <pivotArea dataOnly="0" labelOnly="1" outline="0" fieldPosition="0">
        <references count="1">
          <reference field="0" count="0"/>
        </references>
      </pivotArea>
    </format>
    <format dxfId="185">
      <pivotArea dataOnly="0" labelOnly="1" outline="0" fieldPosition="0">
        <references count="2">
          <reference field="0" count="1" selected="0">
            <x v="3"/>
          </reference>
          <reference field="1" count="4">
            <x v="4"/>
            <x v="7"/>
            <x v="8"/>
            <x v="9"/>
          </reference>
        </references>
      </pivotArea>
    </format>
    <format dxfId="184">
      <pivotArea dataOnly="0" labelOnly="1" outline="0" fieldPosition="0">
        <references count="2">
          <reference field="0" count="1" selected="0">
            <x v="1"/>
          </reference>
          <reference field="1" count="4">
            <x v="1"/>
            <x v="2"/>
            <x v="10"/>
            <x v="11"/>
          </reference>
        </references>
      </pivotArea>
    </format>
    <format dxfId="183">
      <pivotArea dataOnly="0" labelOnly="1" outline="0" fieldPosition="0">
        <references count="2">
          <reference field="0" count="1" selected="0">
            <x v="2"/>
          </reference>
          <reference field="1" count="4">
            <x v="3"/>
            <x v="6"/>
            <x v="12"/>
            <x v="13"/>
          </reference>
        </references>
      </pivotArea>
    </format>
    <format dxfId="182">
      <pivotArea dataOnly="0" labelOnly="1" outline="0" fieldPosition="0">
        <references count="2">
          <reference field="0" count="1" selected="0">
            <x v="0"/>
          </reference>
          <reference field="1" count="4">
            <x v="0"/>
            <x v="5"/>
            <x v="14"/>
            <x v="15"/>
          </reference>
        </references>
      </pivotArea>
    </format>
    <format dxfId="181">
      <pivotArea dataOnly="0" labelOnly="1" outline="0" fieldPosition="0">
        <references count="2">
          <reference field="0" count="1" selected="0">
            <x v="3"/>
          </reference>
          <reference field="1" count="4">
            <x v="4"/>
            <x v="7"/>
            <x v="8"/>
            <x v="9"/>
          </reference>
        </references>
      </pivotArea>
    </format>
    <format dxfId="180">
      <pivotArea dataOnly="0" labelOnly="1" outline="0" fieldPosition="0">
        <references count="2">
          <reference field="0" count="1" selected="0">
            <x v="1"/>
          </reference>
          <reference field="1" count="4">
            <x v="1"/>
            <x v="2"/>
            <x v="10"/>
            <x v="11"/>
          </reference>
        </references>
      </pivotArea>
    </format>
    <format dxfId="179">
      <pivotArea dataOnly="0" labelOnly="1" outline="0" fieldPosition="0">
        <references count="2">
          <reference field="0" count="1" selected="0">
            <x v="2"/>
          </reference>
          <reference field="1" count="4">
            <x v="3"/>
            <x v="6"/>
            <x v="12"/>
            <x v="13"/>
          </reference>
        </references>
      </pivotArea>
    </format>
    <format dxfId="178">
      <pivotArea dataOnly="0" labelOnly="1" outline="0" fieldPosition="0">
        <references count="2">
          <reference field="0" count="1" selected="0">
            <x v="0"/>
          </reference>
          <reference field="1" count="4">
            <x v="0"/>
            <x v="5"/>
            <x v="14"/>
            <x v="15"/>
          </reference>
        </references>
      </pivotArea>
    </format>
    <format dxfId="177">
      <pivotArea dataOnly="0" labelOnly="1" outline="0" fieldPosition="0">
        <references count="2">
          <reference field="0" count="1" selected="0">
            <x v="3"/>
          </reference>
          <reference field="1" count="4">
            <x v="4"/>
            <x v="7"/>
            <x v="8"/>
            <x v="9"/>
          </reference>
        </references>
      </pivotArea>
    </format>
    <format dxfId="176">
      <pivotArea dataOnly="0" labelOnly="1" outline="0" fieldPosition="0">
        <references count="2">
          <reference field="0" count="1" selected="0">
            <x v="1"/>
          </reference>
          <reference field="1" count="4">
            <x v="1"/>
            <x v="2"/>
            <x v="10"/>
            <x v="11"/>
          </reference>
        </references>
      </pivotArea>
    </format>
    <format dxfId="175">
      <pivotArea dataOnly="0" labelOnly="1" outline="0" fieldPosition="0">
        <references count="2">
          <reference field="0" count="1" selected="0">
            <x v="2"/>
          </reference>
          <reference field="1" count="4">
            <x v="3"/>
            <x v="6"/>
            <x v="12"/>
            <x v="13"/>
          </reference>
        </references>
      </pivotArea>
    </format>
    <format dxfId="174">
      <pivotArea dataOnly="0" labelOnly="1" outline="0" fieldPosition="0">
        <references count="2">
          <reference field="0" count="1" selected="0">
            <x v="0"/>
          </reference>
          <reference field="1" count="4">
            <x v="0"/>
            <x v="5"/>
            <x v="14"/>
            <x v="15"/>
          </reference>
        </references>
      </pivotArea>
    </format>
    <format dxfId="173">
      <pivotArea dataOnly="0" labelOnly="1" outline="0" fieldPosition="0">
        <references count="2">
          <reference field="0" count="1" selected="0">
            <x v="3"/>
          </reference>
          <reference field="1" count="4">
            <x v="4"/>
            <x v="7"/>
            <x v="8"/>
            <x v="9"/>
          </reference>
        </references>
      </pivotArea>
    </format>
    <format dxfId="172">
      <pivotArea dataOnly="0" labelOnly="1" outline="0" fieldPosition="0">
        <references count="2">
          <reference field="0" count="1" selected="0">
            <x v="1"/>
          </reference>
          <reference field="1" count="4">
            <x v="1"/>
            <x v="2"/>
            <x v="10"/>
            <x v="11"/>
          </reference>
        </references>
      </pivotArea>
    </format>
    <format dxfId="171">
      <pivotArea dataOnly="0" labelOnly="1" outline="0" fieldPosition="0">
        <references count="2">
          <reference field="0" count="1" selected="0">
            <x v="2"/>
          </reference>
          <reference field="1" count="4">
            <x v="3"/>
            <x v="6"/>
            <x v="12"/>
            <x v="13"/>
          </reference>
        </references>
      </pivotArea>
    </format>
    <format dxfId="170">
      <pivotArea dataOnly="0" labelOnly="1" outline="0" fieldPosition="0">
        <references count="2">
          <reference field="0" count="1" selected="0">
            <x v="0"/>
          </reference>
          <reference field="1" count="4">
            <x v="0"/>
            <x v="5"/>
            <x v="14"/>
            <x v="15"/>
          </reference>
        </references>
      </pivotArea>
    </format>
    <format dxfId="169">
      <pivotArea dataOnly="0" labelOnly="1" outline="0" fieldPosition="0">
        <references count="1">
          <reference field="0" count="0"/>
        </references>
      </pivotArea>
    </format>
  </formats>
  <pivotHierarchies count="5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 caption="SCEGLI DOCENTE">
      <members count="1" level="1">
        <member name="[programmazione].[ID DOCENTE].&amp;[NIKOLA TESLA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Stile tabella pivot 1" showRowHeaders="1" showColHeaders="1" showRowStripes="0" showColStripes="0" showLastColumn="1"/>
  <rowHierarchiesUsage count="2">
    <rowHierarchyUsage hierarchyUsage="16"/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rogrammazion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B668E5-6421-4E00-B0C3-7FAAA7C2AF26}" name="Tabella pivot1" cacheId="1" applyNumberFormats="0" applyBorderFormats="0" applyFontFormats="0" applyPatternFormats="0" applyAlignmentFormats="0" applyWidthHeightFormats="1" dataCaption="Valori" tag="303a9e5d-34fc-433e-9d64-e09f666761fd" updatedVersion="8" minRefreshableVersion="3" showDrill="0" useAutoFormatting="1" subtotalHiddenItems="1" itemPrintTitles="1" createdVersion="8" indent="0" showHeaders="0" outline="1" outlineData="1" multipleFieldFilters="0">
  <location ref="L23:M28" firstHeaderRow="1" firstDataRow="1" firstDataCol="1"/>
  <pivotFields count="3"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APIENZA SEDI" fld="1" baseField="0" baseItem="0"/>
  </dataFields>
  <formats count="21">
    <format dxfId="82">
      <pivotArea type="all" dataOnly="0" outline="0" fieldPosition="0"/>
    </format>
    <format dxfId="81">
      <pivotArea outline="0" collapsedLevelsAreSubtotals="1" fieldPosition="0"/>
    </format>
    <format dxfId="80">
      <pivotArea field="0" type="button" dataOnly="0" labelOnly="1" outline="0" axis="axisRow" fieldPosition="0"/>
    </format>
    <format dxfId="79">
      <pivotArea dataOnly="0" labelOnly="1" fieldPosition="0">
        <references count="1">
          <reference field="0" count="0"/>
        </references>
      </pivotArea>
    </format>
    <format dxfId="78">
      <pivotArea dataOnly="0" labelOnly="1" grandRow="1" outline="0" fieldPosition="0"/>
    </format>
    <format dxfId="77">
      <pivotArea dataOnly="0" labelOnly="1" outline="0" axis="axisValues" fieldPosition="0"/>
    </format>
    <format dxfId="76">
      <pivotArea dataOnly="0" labelOnly="1" outline="0" axis="axisValues" fieldPosition="0"/>
    </format>
    <format dxfId="75">
      <pivotArea grandRow="1" outline="0" collapsedLevelsAreSubtotals="1" fieldPosition="0"/>
    </format>
    <format dxfId="74">
      <pivotArea dataOnly="0" labelOnly="1" grandRow="1" outline="0" fieldPosition="0"/>
    </format>
    <format dxfId="73">
      <pivotArea grandRow="1" outline="0" collapsedLevelsAreSubtotals="1" fieldPosition="0"/>
    </format>
    <format dxfId="72">
      <pivotArea collapsedLevelsAreSubtotals="1" fieldPosition="0">
        <references count="1">
          <reference field="0" count="0"/>
        </references>
      </pivotArea>
    </format>
    <format dxfId="71">
      <pivotArea dataOnly="0" labelOnly="1" fieldPosition="0">
        <references count="1">
          <reference field="0" count="0"/>
        </references>
      </pivotArea>
    </format>
    <format dxfId="70">
      <pivotArea collapsedLevelsAreSubtotals="1" fieldPosition="0">
        <references count="1">
          <reference field="0" count="0"/>
        </references>
      </pivotArea>
    </format>
    <format dxfId="69">
      <pivotArea dataOnly="0" labelOnly="1" outline="0" axis="axisValues" fieldPosition="0"/>
    </format>
    <format dxfId="68">
      <pivotArea outline="0" collapsedLevelsAreSubtotals="1" fieldPosition="0"/>
    </format>
    <format dxfId="67">
      <pivotArea type="all" dataOnly="0" outline="0" fieldPosition="0"/>
    </format>
    <format dxfId="66">
      <pivotArea outline="0" collapsedLevelsAreSubtotals="1" fieldPosition="0"/>
    </format>
    <format dxfId="65">
      <pivotArea dataOnly="0" labelOnly="1" fieldPosition="0">
        <references count="1">
          <reference field="0" count="0"/>
        </references>
      </pivotArea>
    </format>
    <format dxfId="64">
      <pivotArea dataOnly="0" labelOnly="1" outline="0" axis="axisValues" fieldPosition="0"/>
    </format>
    <format dxfId="18">
      <pivotArea grandRow="1" outline="0" collapsedLevelsAreSubtotals="1" fieldPosition="0"/>
    </format>
    <format dxfId="16">
      <pivotArea dataOnly="0" labelOnly="1" grandRow="1" outline="0" fieldPosition="0"/>
    </format>
  </formats>
  <pivotHierarchies count="55">
    <pivotHierarchy dragToData="1"/>
    <pivotHierarchy dragToData="1"/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APIENZA SEDI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edi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A1BB71-DF27-4777-A104-BE78BE71300B}" name="TOP10" cacheId="0" applyNumberFormats="0" applyBorderFormats="0" applyFontFormats="0" applyPatternFormats="0" applyAlignmentFormats="0" applyWidthHeightFormats="1" dataCaption="Valori" tag="a7a3cb28-e5bc-4cc9-92d2-cefdd06d414b" updatedVersion="8" minRefreshableVersion="3" showDrill="0" useAutoFormatting="1" subtotalHiddenItems="1" rowGrandTotals="0" colGrandTotals="0" itemPrintTitles="1" createdVersion="8" indent="0" showHeaders="0" outline="1" outlineData="1" multipleFieldFilters="0" chartFormat="4">
  <location ref="L10:M20" firstHeaderRow="1" firstDataRow="1" firstDataCol="1"/>
  <pivotFields count="3">
    <pivotField dataField="1" subtotalTop="0" showAll="0" defaultSubtotal="0"/>
    <pivotField axis="axisRow" allDrilled="1" subtotalTop="0" showAll="0" measureFilter="1" sortType="descending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llDrilled="1" subtotalTop="0" showAll="0" dataSourceSort="1" defaultSubtotal="0" defaultAttributeDrillState="1"/>
  </pivotFields>
  <rowFields count="1">
    <field x="1"/>
  </rowFields>
  <rowItems count="10">
    <i>
      <x v="8"/>
    </i>
    <i>
      <x/>
    </i>
    <i>
      <x v="9"/>
    </i>
    <i>
      <x v="2"/>
    </i>
    <i>
      <x v="4"/>
    </i>
    <i>
      <x v="5"/>
    </i>
    <i>
      <x v="7"/>
    </i>
    <i>
      <x v="3"/>
    </i>
    <i>
      <x v="1"/>
    </i>
    <i>
      <x v="6"/>
    </i>
  </rowItems>
  <colItems count="1">
    <i/>
  </colItems>
  <dataFields count="1">
    <dataField name="TOP10 COMPENSI" fld="0" baseField="1" baseItem="0" numFmtId="164"/>
  </dataFields>
  <formats count="15">
    <format dxfId="41">
      <pivotArea type="all" dataOnly="0" outline="0" fieldPosition="0"/>
    </format>
    <format dxfId="42">
      <pivotArea outline="0" collapsedLevelsAreSubtotals="1" fieldPosition="0"/>
    </format>
    <format dxfId="43">
      <pivotArea field="1" type="button" dataOnly="0" labelOnly="1" outline="0" axis="axisRow" fieldPosition="0"/>
    </format>
    <format dxfId="44">
      <pivotArea dataOnly="0" labelOnly="1" fieldPosition="0">
        <references count="1">
          <reference field="1" count="0"/>
        </references>
      </pivotArea>
    </format>
    <format dxfId="45">
      <pivotArea dataOnly="0" labelOnly="1" grandRow="1" outline="0" fieldPosition="0"/>
    </format>
    <format dxfId="46">
      <pivotArea outline="0" fieldPosition="0">
        <references count="1">
          <reference field="4294967294" count="1">
            <x v="0"/>
          </reference>
        </references>
      </pivotArea>
    </format>
    <format dxfId="47">
      <pivotArea dataOnly="0" labelOnly="1" outline="0" axis="axisValues" fieldPosition="0"/>
    </format>
    <format dxfId="48">
      <pivotArea dataOnly="0" labelOnly="1" outline="0" axis="axisValues" fieldPosition="0"/>
    </format>
    <format dxfId="49">
      <pivotArea outline="0" collapsedLevelsAreSubtotals="1" fieldPosition="0"/>
    </format>
    <format dxfId="50">
      <pivotArea dataOnly="0" labelOnly="1" fieldPosition="0">
        <references count="1">
          <reference field="1" count="0"/>
        </references>
      </pivotArea>
    </format>
    <format dxfId="51">
      <pivotArea dataOnly="0" labelOnly="1" outline="0" axis="axisValues" fieldPosition="0"/>
    </format>
    <format dxfId="52">
      <pivotArea type="all" dataOnly="0" outline="0" fieldPosition="0"/>
    </format>
    <format dxfId="53">
      <pivotArea outline="0" collapsedLevelsAreSubtotals="1" fieldPosition="0"/>
    </format>
    <format dxfId="54">
      <pivotArea dataOnly="0" labelOnly="1" fieldPosition="0">
        <references count="1">
          <reference field="1" count="0"/>
        </references>
      </pivotArea>
    </format>
    <format dxfId="55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3">
    <pivotHierarchy dragToData="1"/>
    <pivotHierarchy dragToData="1"/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TOP10 COMPENSI"/>
  </pivotHierarchies>
  <pivotTableStyleInfo name="PivotStyleLight16" showRowHeaders="1" showColHeaders="1" showRowStripes="0" showColStripes="0" showLastColumn="1"/>
  <filters count="1">
    <filter fld="1" type="count" id="1" iMeasureHier="52">
      <autoFilter ref="A1">
        <filterColumn colId="0">
          <top10 val="10" filterVal="10"/>
        </filterColumn>
      </autoFilter>
    </filter>
  </filters>
  <rowHierarchiesUsage count="1">
    <rowHierarchyUsage hierarchyUsage="1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rogrammazion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6C5F49-E030-482F-A04E-55F982273E53}" name="Tabella pivot9" cacheId="42" applyNumberFormats="0" applyBorderFormats="0" applyFontFormats="0" applyPatternFormats="0" applyAlignmentFormats="0" applyWidthHeightFormats="1" dataCaption="Valori" tag="a21ecdfb-8cbf-4086-aecd-d775199d797f" updatedVersion="8" minRefreshableVersion="3" showDrill="0" useAutoFormatting="1" subtotalHiddenItems="1" itemPrintTitles="1" createdVersion="8" indent="0" showHeaders="0" outline="1" outlineData="1" multipleFieldFilters="0" chartFormat="5">
  <location ref="I10:J31" firstHeaderRow="1" firstDataRow="1" firstDataCol="1"/>
  <pivotFields count="3">
    <pivotField dataField="1" subtotalTop="0" showAll="0" defaultSubtotal="0"/>
    <pivotField axis="axisRow" allDrilled="1" showAll="0" dataSourceSort="1" defaultAttributeDrillState="1">
      <items count="5">
        <item x="0"/>
        <item x="1"/>
        <item x="2"/>
        <item x="3"/>
        <item t="default"/>
      </items>
    </pivotField>
    <pivotField axis="axisRow" allDrilled="1" showAll="0" dataSourceSort="1" defaultAttributeDrillState="1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</pivotFields>
  <rowFields count="2">
    <field x="1"/>
    <field x="2"/>
  </rowFields>
  <rowItems count="21">
    <i>
      <x/>
    </i>
    <i r="1">
      <x/>
    </i>
    <i r="1">
      <x v="1"/>
    </i>
    <i r="1">
      <x v="2"/>
    </i>
    <i r="1">
      <x v="3"/>
    </i>
    <i>
      <x v="1"/>
    </i>
    <i r="1">
      <x v="4"/>
    </i>
    <i r="1">
      <x v="5"/>
    </i>
    <i r="1">
      <x v="6"/>
    </i>
    <i r="1">
      <x v="7"/>
    </i>
    <i>
      <x v="2"/>
    </i>
    <i r="1">
      <x v="8"/>
    </i>
    <i r="1">
      <x v="9"/>
    </i>
    <i r="1">
      <x v="10"/>
    </i>
    <i r="1">
      <x v="11"/>
    </i>
    <i>
      <x v="3"/>
    </i>
    <i r="1">
      <x v="12"/>
    </i>
    <i r="1">
      <x v="13"/>
    </i>
    <i r="1">
      <x v="14"/>
    </i>
    <i r="1">
      <x v="15"/>
    </i>
    <i t="grand">
      <x/>
    </i>
  </rowItems>
  <colItems count="1">
    <i/>
  </colItems>
  <dataFields count="1">
    <dataField name="CONTEGGIO DOCENTI" fld="0" subtotal="count" baseField="1" baseItem="0"/>
  </dataFields>
  <formats count="50">
    <format dxfId="130">
      <pivotArea type="all" dataOnly="0" outline="0" fieldPosition="0"/>
    </format>
    <format dxfId="129">
      <pivotArea outline="0" collapsedLevelsAreSubtotals="1" fieldPosition="0"/>
    </format>
    <format dxfId="128">
      <pivotArea field="1" type="button" dataOnly="0" labelOnly="1" outline="0" axis="axisRow" fieldPosition="0"/>
    </format>
    <format dxfId="127">
      <pivotArea dataOnly="0" labelOnly="1" fieldPosition="0">
        <references count="1">
          <reference field="1" count="0"/>
        </references>
      </pivotArea>
    </format>
    <format dxfId="126">
      <pivotArea dataOnly="0" labelOnly="1" grandRow="1" outline="0" fieldPosition="0"/>
    </format>
    <format dxfId="125">
      <pivotArea dataOnly="0" labelOnly="1" fieldPosition="0">
        <references count="2">
          <reference field="1" count="1" selected="0">
            <x v="0"/>
          </reference>
          <reference field="2" count="2">
            <x v="0"/>
            <x v="2"/>
          </reference>
        </references>
      </pivotArea>
    </format>
    <format dxfId="124">
      <pivotArea dataOnly="0" labelOnly="1" fieldPosition="0">
        <references count="2">
          <reference field="1" count="1" selected="0">
            <x v="1"/>
          </reference>
          <reference field="2" count="2">
            <x v="5"/>
            <x v="6"/>
          </reference>
        </references>
      </pivotArea>
    </format>
    <format dxfId="123">
      <pivotArea dataOnly="0" labelOnly="1" fieldPosition="0">
        <references count="2">
          <reference field="1" count="1" selected="0">
            <x v="2"/>
          </reference>
          <reference field="2" count="3">
            <x v="1"/>
            <x v="4"/>
            <x v="6"/>
          </reference>
        </references>
      </pivotArea>
    </format>
    <format dxfId="122">
      <pivotArea dataOnly="0" labelOnly="1" fieldPosition="0">
        <references count="2">
          <reference field="1" count="1" selected="0">
            <x v="3"/>
          </reference>
          <reference field="2" count="2">
            <x v="2"/>
            <x v="6"/>
          </reference>
        </references>
      </pivotArea>
    </format>
    <format dxfId="121">
      <pivotArea dataOnly="0" labelOnly="1" outline="0" axis="axisValues" fieldPosition="0"/>
    </format>
    <format dxfId="120">
      <pivotArea dataOnly="0" labelOnly="1" outline="0" axis="axisValues" fieldPosition="0"/>
    </format>
    <format dxfId="119">
      <pivotArea collapsedLevelsAreSubtotals="1" fieldPosition="0">
        <references count="1">
          <reference field="1" count="1">
            <x v="0"/>
          </reference>
        </references>
      </pivotArea>
    </format>
    <format dxfId="118">
      <pivotArea dataOnly="0" labelOnly="1" fieldPosition="0">
        <references count="1">
          <reference field="1" count="1">
            <x v="0"/>
          </reference>
        </references>
      </pivotArea>
    </format>
    <format dxfId="117">
      <pivotArea collapsedLevelsAreSubtotals="1" fieldPosition="0">
        <references count="1">
          <reference field="1" count="1">
            <x v="1"/>
          </reference>
        </references>
      </pivotArea>
    </format>
    <format dxfId="116">
      <pivotArea dataOnly="0" labelOnly="1" fieldPosition="0">
        <references count="1">
          <reference field="1" count="1">
            <x v="1"/>
          </reference>
        </references>
      </pivotArea>
    </format>
    <format dxfId="115">
      <pivotArea collapsedLevelsAreSubtotals="1" fieldPosition="0">
        <references count="1">
          <reference field="1" count="1">
            <x v="2"/>
          </reference>
        </references>
      </pivotArea>
    </format>
    <format dxfId="114">
      <pivotArea dataOnly="0" labelOnly="1" fieldPosition="0">
        <references count="1">
          <reference field="1" count="1">
            <x v="2"/>
          </reference>
        </references>
      </pivotArea>
    </format>
    <format dxfId="113">
      <pivotArea collapsedLevelsAreSubtotals="1" fieldPosition="0">
        <references count="1">
          <reference field="1" count="1">
            <x v="3"/>
          </reference>
        </references>
      </pivotArea>
    </format>
    <format dxfId="112">
      <pivotArea dataOnly="0" labelOnly="1" fieldPosition="0">
        <references count="1">
          <reference field="1" count="1">
            <x v="3"/>
          </reference>
        </references>
      </pivotArea>
    </format>
    <format dxfId="111">
      <pivotArea grandRow="1" outline="0" collapsedLevelsAreSubtotals="1" fieldPosition="0"/>
    </format>
    <format dxfId="110">
      <pivotArea dataOnly="0" labelOnly="1" grandRow="1" outline="0" fieldPosition="0"/>
    </format>
    <format dxfId="109">
      <pivotArea collapsedLevelsAreSubtotals="1" fieldPosition="0">
        <references count="1">
          <reference field="1" count="1">
            <x v="0"/>
          </reference>
        </references>
      </pivotArea>
    </format>
    <format dxfId="108">
      <pivotArea dataOnly="0" labelOnly="1" fieldPosition="0">
        <references count="1">
          <reference field="1" count="1">
            <x v="0"/>
          </reference>
        </references>
      </pivotArea>
    </format>
    <format dxfId="107">
      <pivotArea collapsedLevelsAreSubtotals="1" fieldPosition="0">
        <references count="1">
          <reference field="1" count="1">
            <x v="1"/>
          </reference>
        </references>
      </pivotArea>
    </format>
    <format dxfId="106">
      <pivotArea dataOnly="0" labelOnly="1" fieldPosition="0">
        <references count="1">
          <reference field="1" count="1">
            <x v="1"/>
          </reference>
        </references>
      </pivotArea>
    </format>
    <format dxfId="105">
      <pivotArea collapsedLevelsAreSubtotals="1" fieldPosition="0">
        <references count="1">
          <reference field="1" count="1">
            <x v="2"/>
          </reference>
        </references>
      </pivotArea>
    </format>
    <format dxfId="104">
      <pivotArea dataOnly="0" labelOnly="1" fieldPosition="0">
        <references count="1">
          <reference field="1" count="1">
            <x v="2"/>
          </reference>
        </references>
      </pivotArea>
    </format>
    <format dxfId="103">
      <pivotArea collapsedLevelsAreSubtotals="1" fieldPosition="0">
        <references count="1">
          <reference field="1" count="1">
            <x v="3"/>
          </reference>
        </references>
      </pivotArea>
    </format>
    <format dxfId="102">
      <pivotArea dataOnly="0" labelOnly="1" fieldPosition="0">
        <references count="1">
          <reference field="1" count="1">
            <x v="3"/>
          </reference>
        </references>
      </pivotArea>
    </format>
    <format dxfId="101">
      <pivotArea grandRow="1" outline="0" collapsedLevelsAreSubtotals="1" fieldPosition="0"/>
    </format>
    <format dxfId="100">
      <pivotArea dataOnly="0" labelOnly="1" grandRow="1" outline="0" fieldPosition="0"/>
    </format>
    <format dxfId="99">
      <pivotArea dataOnly="0" labelOnly="1" outline="0" axis="axisValues" fieldPosition="0"/>
    </format>
    <format dxfId="98">
      <pivotArea dataOnly="0" labelOnly="1" outline="0" axis="axisValues" fieldPosition="0"/>
    </format>
    <format dxfId="97">
      <pivotArea type="all" dataOnly="0" outline="0" fieldPosition="0"/>
    </format>
    <format dxfId="96">
      <pivotArea outline="0" collapsedLevelsAreSubtotals="1" fieldPosition="0"/>
    </format>
    <format dxfId="95">
      <pivotArea dataOnly="0" labelOnly="1" fieldPosition="0">
        <references count="2">
          <reference field="1" count="1" selected="0">
            <x v="0"/>
          </reference>
          <reference field="2" count="2">
            <x v="0"/>
            <x v="2"/>
          </reference>
        </references>
      </pivotArea>
    </format>
    <format dxfId="94">
      <pivotArea dataOnly="0" labelOnly="1" fieldPosition="0">
        <references count="2">
          <reference field="1" count="1" selected="0">
            <x v="1"/>
          </reference>
          <reference field="2" count="2">
            <x v="5"/>
            <x v="6"/>
          </reference>
        </references>
      </pivotArea>
    </format>
    <format dxfId="93">
      <pivotArea dataOnly="0" labelOnly="1" fieldPosition="0">
        <references count="2">
          <reference field="1" count="1" selected="0">
            <x v="2"/>
          </reference>
          <reference field="2" count="3">
            <x v="1"/>
            <x v="4"/>
            <x v="6"/>
          </reference>
        </references>
      </pivotArea>
    </format>
    <format dxfId="92">
      <pivotArea dataOnly="0" labelOnly="1" fieldPosition="0">
        <references count="2">
          <reference field="1" count="1" selected="0">
            <x v="3"/>
          </reference>
          <reference field="2" count="2">
            <x v="2"/>
            <x v="6"/>
          </reference>
        </references>
      </pivotArea>
    </format>
    <format dxfId="91">
      <pivotArea dataOnly="0" labelOnly="1" outline="0" axis="axisValues" fieldPosition="0"/>
    </format>
    <format dxfId="90">
      <pivotArea dataOnly="0" labelOnly="1" fieldPosition="0">
        <references count="1">
          <reference field="1" count="0"/>
        </references>
      </pivotArea>
    </format>
    <format dxfId="89">
      <pivotArea collapsedLevelsAreSubtotals="1" fieldPosition="0">
        <references count="1">
          <reference field="1" count="1">
            <x v="0"/>
          </reference>
        </references>
      </pivotArea>
    </format>
    <format dxfId="88">
      <pivotArea collapsedLevelsAreSubtotals="1" fieldPosition="0">
        <references count="1">
          <reference field="1" count="1">
            <x v="1"/>
          </reference>
        </references>
      </pivotArea>
    </format>
    <format dxfId="87">
      <pivotArea collapsedLevelsAreSubtotals="1" fieldPosition="0">
        <references count="1">
          <reference field="1" count="1">
            <x v="2"/>
          </reference>
        </references>
      </pivotArea>
    </format>
    <format dxfId="86">
      <pivotArea collapsedLevelsAreSubtotals="1" fieldPosition="0">
        <references count="1">
          <reference field="1" count="1">
            <x v="3"/>
          </reference>
        </references>
      </pivotArea>
    </format>
    <format dxfId="85">
      <pivotArea dataOnly="0" labelOnly="1" outline="0" axis="axisValues" fieldPosition="0"/>
    </format>
    <format dxfId="84">
      <pivotArea dataOnly="0" labelOnly="1" outline="0" axis="axisValues" fieldPosition="0"/>
    </format>
    <format dxfId="83">
      <pivotArea dataOnly="0" outline="0" axis="axisValues" fieldPosition="0"/>
    </format>
    <format dxfId="22">
      <pivotArea grandRow="1" outline="0" collapsedLevelsAreSubtotals="1" fieldPosition="0"/>
    </format>
    <format dxfId="20">
      <pivotArea dataOnly="0" labelOnly="1" grandRow="1" outline="0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5">
    <pivotHierarchy dragToData="1"/>
    <pivotHierarchy dragToData="1"/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ONTEGGIO DOCENTI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6"/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rogrammazione]"/>
        <x15:activeTabTopLevelEntity name="[corsi]"/>
        <x15:activeTabTopLevelEntity name="[docenti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63EB7D-A1FD-445E-A239-D7828CB6F03F}" name="Tabella pivot8" cacheId="45" applyNumberFormats="0" applyBorderFormats="0" applyFontFormats="0" applyPatternFormats="0" applyAlignmentFormats="0" applyWidthHeightFormats="1" dataCaption="Valori" tag="8da2df45-8655-4a7a-ad17-a9ab7eb13733" updatedVersion="8" minRefreshableVersion="3" showDrill="0" useAutoFormatting="1" pageOverThenDown="1" subtotalHiddenItems="1" itemPrintTitles="1" createdVersion="8" indent="0" showHeaders="0" outline="1" outlineData="1" multipleFieldFilters="0" chartFormat="2">
  <location ref="B10:C31" firstHeaderRow="1" firstDataRow="1" firstDataCol="1"/>
  <pivotFields count="3">
    <pivotField dataField="1" subtotalTop="0" showAll="0" defaultSubtotal="0"/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</pivotFields>
  <rowFields count="2">
    <field x="1"/>
    <field x="2"/>
  </rowFields>
  <rowItems count="21">
    <i>
      <x/>
    </i>
    <i r="1">
      <x/>
    </i>
    <i r="1">
      <x v="1"/>
    </i>
    <i r="1">
      <x v="2"/>
    </i>
    <i r="1">
      <x v="3"/>
    </i>
    <i>
      <x v="1"/>
    </i>
    <i r="1">
      <x v="4"/>
    </i>
    <i r="1">
      <x v="5"/>
    </i>
    <i r="1">
      <x v="6"/>
    </i>
    <i r="1">
      <x v="7"/>
    </i>
    <i>
      <x v="2"/>
    </i>
    <i r="1">
      <x v="8"/>
    </i>
    <i r="1">
      <x v="9"/>
    </i>
    <i r="1">
      <x v="10"/>
    </i>
    <i r="1">
      <x v="11"/>
    </i>
    <i>
      <x v="3"/>
    </i>
    <i r="1">
      <x v="12"/>
    </i>
    <i r="1">
      <x v="13"/>
    </i>
    <i r="1">
      <x v="14"/>
    </i>
    <i r="1">
      <x v="15"/>
    </i>
    <i t="grand">
      <x/>
    </i>
  </rowItems>
  <colItems count="1">
    <i/>
  </colItems>
  <dataFields count="1">
    <dataField name="MONTE ORE" fld="0" baseField="1" baseItem="0"/>
  </dataFields>
  <formats count="44">
    <format dxfId="168">
      <pivotArea type="all" dataOnly="0" outline="0" fieldPosition="0"/>
    </format>
    <format dxfId="167">
      <pivotArea outline="0" collapsedLevelsAreSubtotals="1" fieldPosition="0"/>
    </format>
    <format dxfId="166">
      <pivotArea dataOnly="0" labelOnly="1" fieldPosition="0">
        <references count="1">
          <reference field="1" count="0"/>
        </references>
      </pivotArea>
    </format>
    <format dxfId="165">
      <pivotArea dataOnly="0" labelOnly="1" grandRow="1" outline="0" fieldPosition="0"/>
    </format>
    <format dxfId="164">
      <pivotArea dataOnly="0" labelOnly="1" fieldPosition="0">
        <references count="2">
          <reference field="1" count="1" selected="0">
            <x v="0"/>
          </reference>
          <reference field="2" count="2">
            <x v="0"/>
            <x v="1"/>
          </reference>
        </references>
      </pivotArea>
    </format>
    <format dxfId="163">
      <pivotArea dataOnly="0" labelOnly="1" fieldPosition="0">
        <references count="2">
          <reference field="1" count="1" selected="0">
            <x v="1"/>
          </reference>
          <reference field="2" count="2">
            <x v="6"/>
            <x v="8"/>
          </reference>
        </references>
      </pivotArea>
    </format>
    <format dxfId="162">
      <pivotArea dataOnly="0" labelOnly="1" fieldPosition="0">
        <references count="2">
          <reference field="1" count="1" selected="0">
            <x v="2"/>
          </reference>
          <reference field="2" count="1">
            <x v="3"/>
          </reference>
        </references>
      </pivotArea>
    </format>
    <format dxfId="161">
      <pivotArea dataOnly="0" labelOnly="1" fieldPosition="0">
        <references count="2">
          <reference field="1" count="1" selected="0">
            <x v="3"/>
          </reference>
          <reference field="2" count="2">
            <x v="0"/>
            <x v="13"/>
          </reference>
        </references>
      </pivotArea>
    </format>
    <format dxfId="160">
      <pivotArea dataOnly="0" labelOnly="1" outline="0" axis="axisValues" fieldPosition="0"/>
    </format>
    <format dxfId="159">
      <pivotArea type="all" dataOnly="0" outline="0" fieldPosition="0"/>
    </format>
    <format dxfId="158">
      <pivotArea outline="0" collapsedLevelsAreSubtotals="1" fieldPosition="0"/>
    </format>
    <format dxfId="157">
      <pivotArea dataOnly="0" labelOnly="1" fieldPosition="0">
        <references count="1">
          <reference field="1" count="0"/>
        </references>
      </pivotArea>
    </format>
    <format dxfId="156">
      <pivotArea dataOnly="0" labelOnly="1" grandRow="1" outline="0" fieldPosition="0"/>
    </format>
    <format dxfId="155">
      <pivotArea dataOnly="0" labelOnly="1" fieldPosition="0">
        <references count="2">
          <reference field="1" count="1" selected="0">
            <x v="0"/>
          </reference>
          <reference field="2" count="2">
            <x v="0"/>
            <x v="1"/>
          </reference>
        </references>
      </pivotArea>
    </format>
    <format dxfId="154">
      <pivotArea dataOnly="0" labelOnly="1" fieldPosition="0">
        <references count="2">
          <reference field="1" count="1" selected="0">
            <x v="1"/>
          </reference>
          <reference field="2" count="2">
            <x v="6"/>
            <x v="8"/>
          </reference>
        </references>
      </pivotArea>
    </format>
    <format dxfId="153">
      <pivotArea dataOnly="0" labelOnly="1" fieldPosition="0">
        <references count="2">
          <reference field="1" count="1" selected="0">
            <x v="2"/>
          </reference>
          <reference field="2" count="1">
            <x v="3"/>
          </reference>
        </references>
      </pivotArea>
    </format>
    <format dxfId="152">
      <pivotArea dataOnly="0" labelOnly="1" fieldPosition="0">
        <references count="2">
          <reference field="1" count="1" selected="0">
            <x v="3"/>
          </reference>
          <reference field="2" count="2">
            <x v="0"/>
            <x v="13"/>
          </reference>
        </references>
      </pivotArea>
    </format>
    <format dxfId="151">
      <pivotArea dataOnly="0" labelOnly="1" outline="0" axis="axisValues" fieldPosition="0"/>
    </format>
    <format dxfId="150">
      <pivotArea type="all" dataOnly="0" outline="0" fieldPosition="0"/>
    </format>
    <format dxfId="149">
      <pivotArea dataOnly="0" fieldPosition="0">
        <references count="1">
          <reference field="1" count="0"/>
        </references>
      </pivotArea>
    </format>
    <format dxfId="148">
      <pivotArea field="1" dataOnly="0" grandRow="1" axis="axisRow" fieldPosition="0">
        <references count="1">
          <reference field="1" count="0"/>
        </references>
      </pivotArea>
    </format>
    <format dxfId="147">
      <pivotArea dataOnly="0" fieldPosition="0">
        <references count="1">
          <reference field="1" count="0"/>
        </references>
      </pivotArea>
    </format>
    <format dxfId="146">
      <pivotArea dataOnly="0" labelOnly="1" outline="0" axis="axisValues" fieldPosition="0"/>
    </format>
    <format dxfId="145">
      <pivotArea dataOnly="0" labelOnly="1" outline="0" axis="axisValues" fieldPosition="0"/>
    </format>
    <format dxfId="144">
      <pivotArea type="all" dataOnly="0" outline="0" fieldPosition="0"/>
    </format>
    <format dxfId="143">
      <pivotArea outline="0" collapsedLevelsAreSubtotals="1" fieldPosition="0"/>
    </format>
    <format dxfId="142">
      <pivotArea dataOnly="0" labelOnly="1" fieldPosition="0">
        <references count="1">
          <reference field="1" count="0"/>
        </references>
      </pivotArea>
    </format>
    <format dxfId="141">
      <pivotArea dataOnly="0" labelOnly="1" fieldPosition="0">
        <references count="2">
          <reference field="1" count="1" selected="0">
            <x v="0"/>
          </reference>
          <reference field="2" count="2">
            <x v="0"/>
            <x v="1"/>
          </reference>
        </references>
      </pivotArea>
    </format>
    <format dxfId="140">
      <pivotArea dataOnly="0" labelOnly="1" fieldPosition="0">
        <references count="2">
          <reference field="1" count="1" selected="0">
            <x v="1"/>
          </reference>
          <reference field="2" count="2">
            <x v="6"/>
            <x v="8"/>
          </reference>
        </references>
      </pivotArea>
    </format>
    <format dxfId="139">
      <pivotArea dataOnly="0" labelOnly="1" fieldPosition="0">
        <references count="2">
          <reference field="1" count="1" selected="0">
            <x v="2"/>
          </reference>
          <reference field="2" count="1">
            <x v="3"/>
          </reference>
        </references>
      </pivotArea>
    </format>
    <format dxfId="138">
      <pivotArea dataOnly="0" labelOnly="1" fieldPosition="0">
        <references count="2">
          <reference field="1" count="1" selected="0">
            <x v="3"/>
          </reference>
          <reference field="2" count="2">
            <x v="0"/>
            <x v="13"/>
          </reference>
        </references>
      </pivotArea>
    </format>
    <format dxfId="137">
      <pivotArea dataOnly="0" labelOnly="1" outline="0" axis="axisValues" fieldPosition="0"/>
    </format>
    <format dxfId="136">
      <pivotArea dataOnly="0" labelOnly="1" fieldPosition="0">
        <references count="1">
          <reference field="1" count="1">
            <x v="0"/>
          </reference>
        </references>
      </pivotArea>
    </format>
    <format dxfId="135">
      <pivotArea dataOnly="0" labelOnly="1" fieldPosition="0">
        <references count="1">
          <reference field="1" count="1">
            <x v="1"/>
          </reference>
        </references>
      </pivotArea>
    </format>
    <format dxfId="134">
      <pivotArea dataOnly="0" labelOnly="1" fieldPosition="0">
        <references count="1">
          <reference field="1" count="1">
            <x v="2"/>
          </reference>
        </references>
      </pivotArea>
    </format>
    <format dxfId="133">
      <pivotArea dataOnly="0" labelOnly="1" fieldPosition="0">
        <references count="1">
          <reference field="1" count="1">
            <x v="3"/>
          </reference>
        </references>
      </pivotArea>
    </format>
    <format dxfId="132">
      <pivotArea dataOnly="0" labelOnly="1" outline="0" axis="axisValues" fieldPosition="0"/>
    </format>
    <format dxfId="131">
      <pivotArea dataOnly="0" labelOnly="1" outline="0" axis="axisValues" fieldPosition="0"/>
    </format>
    <format dxfId="34">
      <pivotArea collapsedLevelsAreSubtotals="1" fieldPosition="0">
        <references count="1">
          <reference field="1" count="1">
            <x v="0"/>
          </reference>
        </references>
      </pivotArea>
    </format>
    <format dxfId="32">
      <pivotArea collapsedLevelsAreSubtotals="1" fieldPosition="0">
        <references count="1">
          <reference field="1" count="1">
            <x v="1"/>
          </reference>
        </references>
      </pivotArea>
    </format>
    <format dxfId="30">
      <pivotArea collapsedLevelsAreSubtotals="1" fieldPosition="0">
        <references count="1">
          <reference field="1" count="1">
            <x v="2"/>
          </reference>
        </references>
      </pivotArea>
    </format>
    <format dxfId="28">
      <pivotArea collapsedLevelsAreSubtotals="1" fieldPosition="0">
        <references count="1">
          <reference field="1" count="1">
            <x v="3"/>
          </reference>
        </references>
      </pivotArea>
    </format>
    <format dxfId="26">
      <pivotArea grandRow="1" outline="0" collapsedLevelsAreSubtotals="1" fieldPosition="0"/>
    </format>
    <format dxfId="24">
      <pivotArea dataOnly="0" labelOnly="1" grandRow="1" outline="0" fieldPosition="0"/>
    </format>
  </format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5">
    <pivotHierarchy dragToData="1"/>
    <pivotHierarchy dragToData="1"/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MONTE ORE"/>
    <pivotHierarchy dragToData="1"/>
    <pivotHierarchy dragToData="1"/>
    <pivotHierarchy dragToData="1"/>
    <pivotHierarchy dragToData="1"/>
  </pivotHierarchies>
  <pivotTableStyleInfo name="PivotStyleDark2" showRowHeaders="1" showColHeaders="1" showRowStripes="1" showColStripes="0" showLastColumn="1"/>
  <rowHierarchiesUsage count="2">
    <rowHierarchyUsage hierarchyUsage="16"/>
    <rowHierarchyUsage hierarchyUsage="1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rogrammazion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6023A5-7859-40E7-8DEC-00FDCF2C29DE}" name="Tabella pivot7" cacheId="33" applyNumberFormats="0" applyBorderFormats="0" applyFontFormats="0" applyPatternFormats="0" applyAlignmentFormats="0" applyWidthHeightFormats="1" dataCaption="Valori" tag="3f040481-a21b-4d77-a53e-2d2016114fea" updatedVersion="8" minRefreshableVersion="3" useAutoFormatting="1" subtotalHiddenItems="1" itemPrintTitles="1" createdVersion="5" indent="0" outline="1" outlineData="1" multipleFieldFilters="0" chartFormat="24">
  <location ref="B139:C156" firstHeaderRow="1" firstDataRow="1" firstDataCol="1"/>
  <pivotFields count="9">
    <pivotField dataField="1" subtotalTop="0" showAll="0" defaultSubtotal="0"/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1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ORE DEI CORSI" fld="0" baseField="0" baseItem="0"/>
  </dataFields>
  <chartFormats count="5"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5">
    <pivotHierarchy dragToData="1"/>
    <pivotHierarchy dragToData="1"/>
    <pivotHierarchy multipleItemSelectionAllowed="1" dragToData="1"/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ORE DEI CORSI"/>
    <pivotHierarchy dragToData="1"/>
    <pivotHierarchy dragToData="1"/>
    <pivotHierarchy dragToData="1"/>
    <pivotHierarchy dragToData="1" caption="FATTURATO CORSO"/>
  </pivotHierarchies>
  <pivotTableStyleInfo name="PivotStyleLight16"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rsi]"/>
        <x15:activeTabTopLevelEntity name="[docenti]"/>
        <x15:activeTabTopLevelEntity name="[programmazion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D9087B-78E0-4EA5-BD3F-641D3B845722}" name="Tabella pivot4" cacheId="39" applyNumberFormats="0" applyBorderFormats="0" applyFontFormats="0" applyPatternFormats="0" applyAlignmentFormats="0" applyWidthHeightFormats="1" dataCaption="Valori" tag="ee66c6ed-3612-4044-b559-83abc797bbaf" updatedVersion="8" minRefreshableVersion="3" useAutoFormatting="1" subtotalHiddenItems="1" itemPrintTitles="1" createdVersion="5" indent="0" outline="1" outlineData="1" multipleFieldFilters="0" chartFormat="9">
  <location ref="B55:C72" firstHeaderRow="1" firstDataRow="1" firstDataCol="1"/>
  <pivotFields count="7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Somma di PREZZO" fld="1" baseField="0" baseItem="0"/>
  </dataFields>
  <chartFormats count="17">
    <chartFormat chart="8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9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8" format="20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8" format="2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22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8" format="2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8" format="24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8" format="25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8" format="26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27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28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8" format="29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30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8" format="3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32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33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8" format="34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</chartFormats>
  <pivotHierarchies count="55">
    <pivotHierarchy dragToData="1"/>
    <pivotHierarchy dragToData="1"/>
    <pivotHierarchy multipleItemSelectionAllowed="1" dragToData="1"/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rsi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6A1B11D-B0E6-47DF-90E5-93097BA9F180}" name="Tabella pivot5" cacheId="30" applyNumberFormats="0" applyBorderFormats="0" applyFontFormats="0" applyPatternFormats="0" applyAlignmentFormats="0" applyWidthHeightFormats="1" dataCaption="Valori" tag="2d229a3c-ba23-4828-8a15-6140c32d3850" updatedVersion="8" minRefreshableVersion="3" useAutoFormatting="1" subtotalHiddenItems="1" itemPrintTitles="1" createdVersion="5" indent="0" outline="1" outlineData="1" multipleFieldFilters="0" chartFormat="20">
  <location ref="B119:D136" firstHeaderRow="0" firstDataRow="1" firstDataCol="1"/>
  <pivotFields count="9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1">
    <field x="-2"/>
  </colFields>
  <colItems count="2">
    <i>
      <x/>
    </i>
    <i i="1">
      <x v="1"/>
    </i>
  </colItems>
  <dataFields count="2">
    <dataField name="ORE DEI CORSI" fld="1" baseField="0" baseItem="0"/>
    <dataField name="FATTURATO CORSO" fld="2" baseField="0" baseItem="0"/>
  </dataFields>
  <chartFormats count="4"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55">
    <pivotHierarchy dragToData="1"/>
    <pivotHierarchy dragToData="1"/>
    <pivotHierarchy multipleItemSelectionAllowed="1" dragToData="1"/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ORE DEI CORSI"/>
    <pivotHierarchy dragToData="1"/>
    <pivotHierarchy dragToData="1"/>
    <pivotHierarchy dragToData="1"/>
    <pivotHierarchy dragToData="1" caption="FATTURATO CORSO"/>
  </pivotHierarchies>
  <pivotTableStyleInfo name="PivotStyleLight16" showRowHeaders="1" showColHeaders="1" showRowStripes="0" showColStripes="0" showLastColumn="1"/>
  <rowHierarchiesUsage count="1">
    <rowHierarchyUsage hierarchyUsage="1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rsi]"/>
        <x15:activeTabTopLevelEntity name="[docenti]"/>
        <x15:activeTabTopLevelEntity name="[programmazion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C97682-43A0-41C6-A913-AA787F6AF966}" name="Tabella pivot3" cacheId="27" applyNumberFormats="0" applyBorderFormats="0" applyFontFormats="0" applyPatternFormats="0" applyAlignmentFormats="0" applyWidthHeightFormats="1" dataCaption="Valori" tag="ed4b9758-bea5-45f5-804c-2feab2ee0543" updatedVersion="8" minRefreshableVersion="3" useAutoFormatting="1" subtotalHiddenItems="1" itemPrintTitles="1" createdVersion="5" indent="0" outline="1" outlineData="1" multipleFieldFilters="0" chartFormat="16">
  <location ref="B96:F116" firstHeaderRow="1" firstDataRow="4" firstDataCol="1"/>
  <pivotFields count="11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Col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axis="axisCol" allDrilled="1" subtotalTop="0" showAll="0" dataSourceSort="1" defaultSubtotal="0">
      <items count="3">
        <item x="0" e="0"/>
        <item x="1" e="0"/>
        <item x="2" e="0"/>
      </items>
    </pivotField>
    <pivotField axis="axisCol" allDrilled="1" subtotalTop="0" showAll="0" dataSourceSort="1" defaultSubtotal="0" defaultAttributeDrillState="1"/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3">
    <field x="2"/>
    <field x="1"/>
    <field x="3"/>
  </colFields>
  <colItems count="4">
    <i>
      <x/>
    </i>
    <i>
      <x v="1"/>
    </i>
    <i>
      <x v="2"/>
    </i>
    <i t="grand">
      <x/>
    </i>
  </colItems>
  <dataFields count="1">
    <dataField name="ORE DEI CORSI" fld="4" baseField="0" baseItem="0"/>
  </dataFields>
  <chartFormats count="3">
    <chartFormat chart="13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3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3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</chartFormats>
  <pivotHierarchies count="55">
    <pivotHierarchy dragToData="1"/>
    <pivotHierarchy dragToData="1"/>
    <pivotHierarchy multipleItemSelectionAllowed="1" dragToData="1"/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ORE DEI CORSI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5"/>
  </rowHierarchiesUsage>
  <colHierarchiesUsage count="3">
    <colHierarchyUsage hierarchyUsage="21"/>
    <colHierarchyUsage hierarchyUsage="17"/>
    <colHierarchyUsage hierarchyUsage="18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rsi]"/>
        <x15:activeTabTopLevelEntity name="[docenti]"/>
        <x15:activeTabTopLevelEntity name="[programmazion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2B527A-236F-4E03-89F7-28BBA507BB9D}" name="Tabella pivot2" cacheId="18" applyNumberFormats="0" applyBorderFormats="0" applyFontFormats="0" applyPatternFormats="0" applyAlignmentFormats="0" applyWidthHeightFormats="1" dataCaption="Valori" tag="4c1499a5-095c-46a1-9711-accc2c81d0cb" updatedVersion="8" minRefreshableVersion="3" useAutoFormatting="1" subtotalHiddenItems="1" itemPrintTitles="1" createdVersion="5" indent="0" outline="1" outlineData="1" multipleFieldFilters="0" chartFormat="9">
  <location ref="B35:C52" firstHeaderRow="1" firstDataRow="1" firstDataCol="1"/>
  <pivotFields count="7">
    <pivotField dataField="1" subtotalTop="0" showAll="0" defaultSubtotal="0"/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1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Somma di COSTO TOTALE" fld="0" baseField="0" baseItem="0"/>
  </dataFields>
  <chartFormats count="19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9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8" format="20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8" format="2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8" format="22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8" format="23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8" format="24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8" format="25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8" format="26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8" format="27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8" format="28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8" format="29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8" format="30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8" format="3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8" format="32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8" format="33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8" format="34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</chartFormats>
  <pivotHierarchies count="55">
    <pivotHierarchy dragToData="1"/>
    <pivotHierarchy dragToData="1"/>
    <pivotHierarchy multipleItemSelectionAllowed="1" dragToData="1"/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rsi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0FEEA9-A141-4572-9099-7B2A82025E16}" name="Tabella pivot1" cacheId="21" applyNumberFormats="0" applyBorderFormats="0" applyFontFormats="0" applyPatternFormats="0" applyAlignmentFormats="0" applyWidthHeightFormats="1" dataCaption="Valori" tag="7dfec485-b480-490c-8cc0-eb886a4b37b2" updatedVersion="8" minRefreshableVersion="3" useAutoFormatting="1" subtotalHiddenItems="1" itemPrintTitles="1" createdVersion="5" indent="0" outline="1" outlineData="1" multipleFieldFilters="0" chartFormat="5">
  <location ref="J3:M8" firstHeaderRow="0" firstDataRow="1" firstDataCol="1"/>
  <pivotFields count="8"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3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ma di COSTO TOTALE" fld="0" baseField="0" baseItem="0"/>
    <dataField name="Somma di ORE" fld="1" baseField="0" baseItem="0"/>
    <dataField name="Somma di PREZZO" fld="2" baseField="0" baseItem="0"/>
  </dataFields>
  <chartFormats count="1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" format="2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4" format="22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4" format="23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4" format="24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4" format="25">
      <pivotArea type="data" outline="0" fieldPosition="0">
        <references count="2">
          <reference field="4294967294" count="1" selected="0">
            <x v="1"/>
          </reference>
          <reference field="3" count="1" selected="0">
            <x v="0"/>
          </reference>
        </references>
      </pivotArea>
    </chartFormat>
    <chartFormat chart="4" format="26">
      <pivotArea type="data" outline="0" fieldPosition="0">
        <references count="2">
          <reference field="4294967294" count="1" selected="0">
            <x v="1"/>
          </reference>
          <reference field="3" count="1" selected="0">
            <x v="1"/>
          </reference>
        </references>
      </pivotArea>
    </chartFormat>
    <chartFormat chart="4" format="27">
      <pivotArea type="data" outline="0" fieldPosition="0">
        <references count="2">
          <reference field="4294967294" count="1" selected="0">
            <x v="1"/>
          </reference>
          <reference field="3" count="1" selected="0">
            <x v="2"/>
          </reference>
        </references>
      </pivotArea>
    </chartFormat>
    <chartFormat chart="4" format="28">
      <pivotArea type="data" outline="0" fieldPosition="0">
        <references count="2">
          <reference field="4294967294" count="1" selected="0">
            <x v="1"/>
          </reference>
          <reference field="3" count="1" selected="0">
            <x v="3"/>
          </reference>
        </references>
      </pivotArea>
    </chartFormat>
    <chartFormat chart="4" format="29">
      <pivotArea type="data" outline="0" fieldPosition="0">
        <references count="2">
          <reference field="4294967294" count="1" selected="0">
            <x v="2"/>
          </reference>
          <reference field="3" count="1" selected="0">
            <x v="0"/>
          </reference>
        </references>
      </pivotArea>
    </chartFormat>
    <chartFormat chart="4" format="30">
      <pivotArea type="data" outline="0" fieldPosition="0">
        <references count="2">
          <reference field="4294967294" count="1" selected="0">
            <x v="2"/>
          </reference>
          <reference field="3" count="1" selected="0">
            <x v="1"/>
          </reference>
        </references>
      </pivotArea>
    </chartFormat>
    <chartFormat chart="4" format="31">
      <pivotArea type="data" outline="0" fieldPosition="0">
        <references count="2">
          <reference field="4294967294" count="1" selected="0">
            <x v="2"/>
          </reference>
          <reference field="3" count="1" selected="0">
            <x v="2"/>
          </reference>
        </references>
      </pivotArea>
    </chartFormat>
    <chartFormat chart="4" format="32">
      <pivotArea type="data" outline="0" fieldPosition="0">
        <references count="2">
          <reference field="4294967294" count="1" selected="0">
            <x v="2"/>
          </reference>
          <reference field="3" count="1" selected="0">
            <x v="3"/>
          </reference>
        </references>
      </pivotArea>
    </chartFormat>
  </chartFormats>
  <pivotHierarchies count="55">
    <pivotHierarchy dragToData="1"/>
    <pivotHierarchy dragToData="1"/>
    <pivotHierarchy multipleItemSelectionAllowed="1" dragToData="1"/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rsi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A3F6C2-52FF-4452-80E7-F37FC0AF6FD2}" name="Tabella pivot6" cacheId="24" applyNumberFormats="0" applyBorderFormats="0" applyFontFormats="0" applyPatternFormats="0" applyAlignmentFormats="0" applyWidthHeightFormats="1" dataCaption="Valori" tag="b86b6fe9-8c89-4014-8377-d41b71696da5" updatedVersion="8" minRefreshableVersion="3" useAutoFormatting="1" subtotalHiddenItems="1" itemPrintTitles="1" createdVersion="5" indent="0" outline="1" outlineData="1" multipleFieldFilters="0" chartFormat="17">
  <location ref="B75:C93" firstHeaderRow="1" firstDataRow="1" firstDataCol="1"/>
  <pivotFields count="7">
    <pivotField dataField="1" subtotalTop="0" showAll="0" defaultSubtotal="0"/>
    <pivotField axis="axisRow" allDrilled="1" subtotalTop="0" showAll="0" dataSourceSort="1" defaultSubtotal="0" defaultAttributeDrillState="1">
      <items count="1">
        <item x="0"/>
      </items>
    </pivotField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2">
    <field x="1"/>
    <field x="2"/>
  </rowFields>
  <rowItems count="18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t="grand">
      <x/>
    </i>
  </rowItems>
  <colItems count="1">
    <i/>
  </colItems>
  <dataFields count="1">
    <dataField name="Somma di FATTURATO CORSO" fld="0" baseField="0" baseItem="0"/>
  </dataFields>
  <formats count="1">
    <format dxfId="56">
      <pivotArea outline="0" collapsedLevelsAreSubtotals="1" fieldPosition="0"/>
    </format>
  </formats>
  <chartFormats count="2"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5">
    <pivotHierarchy dragToData="1"/>
    <pivotHierarchy dragToData="1"/>
    <pivotHierarchy multipleItemSelectionAllowed="1" dragToData="1"/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 caption="Media di PREZZO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4"/>
    <rowHierarchyUsage hierarchyUsage="1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rsi]"/>
        <x15:activeTabTopLevelEntity name="[docenti]"/>
        <x15:activeTabTopLevelEntity name="[programmazione]"/>
        <x15:activeTabTopLevelEntity name="[sedi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ID_DOCENTE" xr10:uid="{EC95DA6E-12BC-46B8-9E5C-FE141BF4D192}" sourceName="[programmazione].[ID DOCENTE]">
  <pivotTables>
    <pivotTable tabId="23" name="Tabella pivot5"/>
  </pivotTables>
  <data>
    <olap pivotCacheId="1142209870">
      <levels count="2">
        <level uniqueName="[programmazione].[ID DOCENTE].[(All)]" sourceCaption="(All)" count="0"/>
        <level uniqueName="[programmazione].[ID DOCENTE].[ID DOCENTE]" sourceCaption="ID DOCENTE" count="16">
          <ranges>
            <range startItem="0">
              <i n="[programmazione].[ID DOCENTE].&amp;[ALBERT EINSTEIN]" c="ALBERT EINSTEIN"/>
              <i n="[programmazione].[ID DOCENTE].&amp;[ALESSANDRA GUERRIERO]" c="ALESSANDRA GUERRIERO"/>
              <i n="[programmazione].[ID DOCENTE].&amp;[ANDREA PORTANOVA]" c="ANDREA PORTANOVA"/>
              <i n="[programmazione].[ID DOCENTE].&amp;[CHIARA RAPELLI]" c="CHIARA RAPELLI"/>
              <i n="[programmazione].[ID DOCENTE].&amp;[DANTE ALIGHIERI]" c="DANTE ALIGHIERI"/>
              <i n="[programmazione].[ID DOCENTE].&amp;[ENZA LOSAPPIO]" c="ENZA LOSAPPIO"/>
              <i n="[programmazione].[ID DOCENTE].&amp;[FRANCA DE BELLIS]" c="FRANCA DE BELLIS"/>
              <i n="[programmazione].[ID DOCENTE].&amp;[FRANCESCO IPPOLITO]" c="FRANCESCO IPPOLITO"/>
              <i n="[programmazione].[ID DOCENTE].&amp;[GIULIA VOCINO]" c="GIULIA VOCINO"/>
              <i n="[programmazione].[ID DOCENTE].&amp;[ISAAC NEWTON]" c="ISAAC NEWTON"/>
              <i n="[programmazione].[ID DOCENTE].&amp;[JOHN WATSON]" c="JOHN WATSON"/>
              <i n="[programmazione].[ID DOCENTE].&amp;[LEONARDO FIBONACCI]" c="LEONARDO FIBONACCI"/>
              <i n="[programmazione].[ID DOCENTE].&amp;[MARIA CHIARA BIONDI]" c="MARIA CHIARA BIONDI"/>
              <i n="[programmazione].[ID DOCENTE].&amp;[NICOLO' COPERNICO]" c="NICOLO' COPERNICO"/>
              <i n="[programmazione].[ID DOCENTE].&amp;[NIKOLA TESLA]" c="NIKOLA TESLA"/>
              <i n="[programmazione].[ID DOCENTE].&amp;[SIMONA REALE]" c="SIMONA REALE"/>
            </range>
          </ranges>
        </level>
      </levels>
      <selections count="1">
        <selection n="[programmazione].[ID DOCENTE].&amp;[NIKOLA TESLA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MATERIA" xr10:uid="{36EF0557-E544-441F-A972-83991F718714}" sourceName="[corsi].[MATERIA]">
  <pivotTables>
    <pivotTable tabId="31" name="Tabella pivot2"/>
    <pivotTable tabId="31" name="Tabella pivot4"/>
    <pivotTable tabId="31" name="Tabella pivot1"/>
    <pivotTable tabId="31" name="Tabella pivot6"/>
    <pivotTable tabId="31" name="Tabella pivot3"/>
    <pivotTable tabId="31" name="Tabella pivot5"/>
    <pivotTable tabId="31" name="Tabella pivot7"/>
  </pivotTables>
  <data>
    <olap pivotCacheId="1185904936">
      <levels count="2">
        <level uniqueName="[corsi].[MATERIA].[(All)]" sourceCaption="(All)" count="0"/>
        <level uniqueName="[corsi].[MATERIA].[MATERIA]" sourceCaption="MATERIA" count="5">
          <ranges>
            <range startItem="0">
              <i n="[corsi].[MATERIA].&amp;[FISICA]" c="FISICA"/>
              <i n="[corsi].[MATERIA].&amp;[INGLESE]" c="INGLESE"/>
              <i n="[corsi].[MATERIA].&amp;[ITALIANO]" c="ITALIANO"/>
              <i n="[corsi].[MATERIA].&amp;[MATEMATICA]" c="MATEMATICA"/>
              <i n="[corsi].[MATERIA].&amp;" c="(vuoto)"/>
            </range>
          </ranges>
        </level>
      </levels>
      <selections count="1">
        <selection n="[corsi].[MATERIA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PREZZO" xr10:uid="{95FB9944-0983-4153-98AD-AE3B4A1ABA04}" sourceName="[corsi].[PREZZO]">
  <pivotTables>
    <pivotTable tabId="31" name="Tabella pivot2"/>
    <pivotTable tabId="31" name="Tabella pivot4"/>
    <pivotTable tabId="31" name="Tabella pivot1"/>
    <pivotTable tabId="31" name="Tabella pivot6"/>
    <pivotTable tabId="31" name="Tabella pivot3"/>
    <pivotTable tabId="31" name="Tabella pivot5"/>
    <pivotTable tabId="31" name="Tabella pivot7"/>
  </pivotTables>
  <data>
    <olap pivotCacheId="1185904936">
      <levels count="2">
        <level uniqueName="[corsi].[PREZZO].[(All)]" sourceCaption="(All)" count="0"/>
        <level uniqueName="[corsi].[PREZZO].[PREZZO]" sourceCaption="PREZZO" count="9">
          <ranges>
            <range startItem="0">
              <i n="[corsi].[PREZZO].&amp;[100]" c="100"/>
              <i n="[corsi].[PREZZO].&amp;[120]" c="120"/>
              <i n="[corsi].[PREZZO].&amp;[150]" c="150"/>
              <i n="[corsi].[PREZZO].&amp;[250]" c="250"/>
              <i n="[corsi].[PREZZO].&amp;[300]" c="300"/>
              <i n="[corsi].[PREZZO].&amp;[350]" c="350"/>
              <i n="[corsi].[PREZZO].&amp;[400]" c="400"/>
              <i n="[corsi].[PREZZO].&amp;[500]" c="500"/>
              <i n="[corsi].[PREZZO].&amp;" c="(vuoto)"/>
            </range>
          </ranges>
        </level>
      </levels>
      <selections count="1">
        <selection n="[corsi].[PREZZO].[All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OSTO_TOTALE" xr10:uid="{48193181-A8F0-4427-A6E5-D8CEF5ACF990}" sourceName="[corsi].[COSTO TOTALE]">
  <pivotTables>
    <pivotTable tabId="31" name="Tabella pivot2"/>
    <pivotTable tabId="31" name="Tabella pivot4"/>
    <pivotTable tabId="31" name="Tabella pivot1"/>
    <pivotTable tabId="31" name="Tabella pivot6"/>
    <pivotTable tabId="31" name="Tabella pivot3"/>
    <pivotTable tabId="31" name="Tabella pivot5"/>
    <pivotTable tabId="31" name="Tabella pivot7"/>
  </pivotTables>
  <data>
    <olap pivotCacheId="1185904936">
      <levels count="2">
        <level uniqueName="[corsi].[COSTO TOTALE].[(All)]" sourceCaption="(All)" count="0"/>
        <level uniqueName="[corsi].[COSTO TOTALE].[COSTO TOTALE]" sourceCaption="COSTO TOTALE" count="11">
          <ranges>
            <range startItem="0">
              <i n="[corsi].[COSTO TOTALE].&amp;[9000]" c="9000"/>
              <i n="[corsi].[COSTO TOTALE].&amp;[12000]" c="12000"/>
              <i n="[corsi].[COSTO TOTALE].&amp;[22500]" c="22500"/>
              <i n="[corsi].[COSTO TOTALE].&amp;[30000]" c="30000"/>
              <i n="[corsi].[COSTO TOTALE].&amp;[40000]" c="40000"/>
              <i n="[corsi].[COSTO TOTALE].&amp;[42000]" c="42000"/>
              <i n="[corsi].[COSTO TOTALE].&amp;[50000]" c="50000"/>
              <i n="[corsi].[COSTO TOTALE].&amp;[60000]" c="60000"/>
              <i n="[corsi].[COSTO TOTALE].&amp;[80000]" c="80000"/>
              <i n="[corsi].[COSTO TOTALE].&amp;[100000]" c="100000"/>
              <i n="[corsi].[COSTO TOTALE].&amp;" c="(vuoto)"/>
            </range>
          </ranges>
        </level>
      </levels>
      <selections count="1">
        <selection n="[corsi].[COSTO TOTALE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ORE" xr10:uid="{137B3F7A-92FB-459A-A791-F3ABCC8A87EB}" sourceName="[corsi].[ORE]">
  <pivotTables>
    <pivotTable tabId="31" name="Tabella pivot6"/>
    <pivotTable tabId="31" name="Tabella pivot1"/>
    <pivotTable tabId="31" name="Tabella pivot2"/>
    <pivotTable tabId="31" name="Tabella pivot4"/>
    <pivotTable tabId="31" name="Tabella pivot3"/>
    <pivotTable tabId="31" name="Tabella pivot5"/>
    <pivotTable tabId="31" name="Tabella pivot7"/>
  </pivotTables>
  <data>
    <olap pivotCacheId="1185904936">
      <levels count="2">
        <level uniqueName="[corsi].[ORE].[(All)]" sourceCaption="(All)" count="0"/>
        <level uniqueName="[corsi].[ORE].[ORE]" sourceCaption="ORE" count="7">
          <ranges>
            <range startItem="0">
              <i n="[corsi].[ORE].&amp;" c="(vuoto)"/>
              <i n="[corsi].[ORE].&amp;[90]" c="90"/>
              <i n="[corsi].[ORE].&amp;[100]" c="100"/>
              <i n="[corsi].[ORE].&amp;[120]" c="120"/>
              <i n="[corsi].[ORE].&amp;[150]" c="150"/>
              <i n="[corsi].[ORE].&amp;[160]" c="160"/>
              <i n="[corsi].[ORE].&amp;[200]" c="200"/>
            </range>
          </ranges>
        </level>
      </levels>
      <selections count="1">
        <selection n="[corsi].[ORE].[All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4"/>
      </x15:slicerCachePivotTables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ID_DOCENTE2" xr10:uid="{F0435879-7F83-41E8-9B53-5433D5442F19}" sourceName="[programmazione].[ID DOCENTE]">
  <pivotTables>
    <pivotTable tabId="31" name="Tabella pivot3"/>
    <pivotTable tabId="31" name="Tabella pivot4"/>
    <pivotTable tabId="31" name="Tabella pivot5"/>
    <pivotTable tabId="31" name="Tabella pivot6"/>
    <pivotTable tabId="31" name="Tabella pivot1"/>
    <pivotTable tabId="31" name="Tabella pivot2"/>
    <pivotTable tabId="31" name="Tabella pivot7"/>
  </pivotTables>
  <data>
    <olap pivotCacheId="1185904936">
      <levels count="2">
        <level uniqueName="[programmazione].[ID DOCENTE].[(All)]" sourceCaption="(All)" count="0"/>
        <level uniqueName="[programmazione].[ID DOCENTE].[ID DOCENTE]" sourceCaption="ID DOCENTE" count="16">
          <ranges>
            <range startItem="0">
              <i n="[programmazione].[ID DOCENTE].&amp;[ALBERT EINSTEIN]" c="ALBERT EINSTEIN"/>
              <i n="[programmazione].[ID DOCENTE].&amp;[ALESSANDRA GUERRIERO]" c="ALESSANDRA GUERRIERO"/>
              <i n="[programmazione].[ID DOCENTE].&amp;[ANDREA PORTANOVA]" c="ANDREA PORTANOVA"/>
              <i n="[programmazione].[ID DOCENTE].&amp;[CHIARA RAPELLI]" c="CHIARA RAPELLI"/>
              <i n="[programmazione].[ID DOCENTE].&amp;[DANTE ALIGHIERI]" c="DANTE ALIGHIERI"/>
              <i n="[programmazione].[ID DOCENTE].&amp;[ENZA LOSAPPIO]" c="ENZA LOSAPPIO"/>
              <i n="[programmazione].[ID DOCENTE].&amp;[FRANCA DE BELLIS]" c="FRANCA DE BELLIS"/>
              <i n="[programmazione].[ID DOCENTE].&amp;[FRANCESCO IPPOLITO]" c="FRANCESCO IPPOLITO"/>
              <i n="[programmazione].[ID DOCENTE].&amp;[GIULIA VOCINO]" c="GIULIA VOCINO"/>
              <i n="[programmazione].[ID DOCENTE].&amp;[ISAAC NEWTON]" c="ISAAC NEWTON"/>
              <i n="[programmazione].[ID DOCENTE].&amp;[JOHN WATSON]" c="JOHN WATSON"/>
              <i n="[programmazione].[ID DOCENTE].&amp;[LEONARDO FIBONACCI]" c="LEONARDO FIBONACCI"/>
              <i n="[programmazione].[ID DOCENTE].&amp;[MARIA CHIARA BIONDI]" c="MARIA CHIARA BIONDI"/>
              <i n="[programmazione].[ID DOCENTE].&amp;[NICOLO' COPERNICO]" c="NICOLO' COPERNICO"/>
              <i n="[programmazione].[ID DOCENTE].&amp;[NIKOLA TESLA]" c="NIKOLA TESLA"/>
              <i n="[programmazione].[ID DOCENTE].&amp;[SIMONA REALE]" c="SIMONA REALE"/>
            </range>
          </ranges>
        </level>
      </levels>
      <selections count="1">
        <selection n="[programmazione].[ID DOCENTE].[All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4"/>
      </x15:slicerCachePivotTables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ORE1" xr10:uid="{B3CA53E3-975A-4BE6-91F1-EA143C8AA628}" sourceName="[programmazione].[ORE]">
  <pivotTables>
    <pivotTable tabId="31" name="Tabella pivot3"/>
    <pivotTable tabId="31" name="Tabella pivot7"/>
    <pivotTable tabId="31" name="Tabella pivot5"/>
  </pivotTables>
  <data>
    <olap pivotCacheId="1185904936">
      <levels count="2">
        <level uniqueName="[programmazione].[ORE].[(All)]" sourceCaption="(All)" count="0"/>
        <level uniqueName="[programmazione].[ORE].[ORE]" sourceCaption="ORE" count="6">
          <ranges>
            <range startItem="0">
              <i n="[programmazione].[ORE].&amp;[90]" c="90"/>
              <i n="[programmazione].[ORE].&amp;[100]" c="100"/>
              <i n="[programmazione].[ORE].&amp;[120]" c="120"/>
              <i n="[programmazione].[ORE].&amp;[150]" c="150"/>
              <i n="[programmazione].[ORE].&amp;[160]" c="160"/>
              <i n="[programmazione].[ORE].&amp;[200]" c="200"/>
            </range>
          </ranges>
        </level>
      </levels>
      <selections count="1">
        <selection n="[programmazione].[ORE].[All]"/>
      </selections>
    </olap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FATTURATO_CORSO" xr10:uid="{5258B7C4-E767-4DBB-80CA-AEAE46440AA2}" sourceName="[programmazione].[FATTURATO CORSO]">
  <pivotTables>
    <pivotTable tabId="31" name="Tabella pivot3"/>
    <pivotTable tabId="31" name="Tabella pivot7"/>
    <pivotTable tabId="31" name="Tabella pivot5"/>
  </pivotTables>
  <data>
    <olap pivotCacheId="1185904936">
      <levels count="2">
        <level uniqueName="[programmazione].[FATTURATO CORSO].[(All)]" sourceCaption="(All)" count="0"/>
        <level uniqueName="[programmazione].[FATTURATO CORSO].[FATTURATO CORSO]" sourceCaption="FATTURATO CORSO" count="10">
          <ranges>
            <range startItem="0">
              <i n="[programmazione].[FATTURATO CORSO].&amp;[9000]" c="9000"/>
              <i n="[programmazione].[FATTURATO CORSO].&amp;[12000]" c="12000"/>
              <i n="[programmazione].[FATTURATO CORSO].&amp;[22500]" c="22500"/>
              <i n="[programmazione].[FATTURATO CORSO].&amp;[30000]" c="30000"/>
              <i n="[programmazione].[FATTURATO CORSO].&amp;[40000]" c="40000"/>
              <i n="[programmazione].[FATTURATO CORSO].&amp;[42000]" c="42000"/>
              <i n="[programmazione].[FATTURATO CORSO].&amp;[50000]" c="50000"/>
              <i n="[programmazione].[FATTURATO CORSO].&amp;[60000]" c="60000"/>
              <i n="[programmazione].[FATTURATO CORSO].&amp;[80000]" c="80000"/>
              <i n="[programmazione].[FATTURATO CORSO].&amp;[100000]" c="100000"/>
            </range>
          </ranges>
        </level>
      </levels>
      <selections count="1">
        <selection n="[programmazione].[FATTURATO CORSO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CEGLI DOCENTE" xr10:uid="{AE4B40AA-B22B-480D-88A0-AE188199A5DF}" cache="FiltroDati_ID_DOCENTE" caption="SCEGLI DOCENTE" columnCount="2" level="1" style="SlicerStyleDark2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ATERIA" xr10:uid="{49C379F5-50C9-4022-AD2A-FCCB38BF9A40}" cache="FiltroDati_MATERIA" caption="MATERIA" columnCount="2" level="1" rowHeight="234950"/>
  <slicer name="PREZZO" xr10:uid="{FA1B57DA-5D88-45FF-9DD5-8EF01747C8C5}" cache="FiltroDati_PREZZO" caption="PREZZO" columnCount="3" level="1" rowHeight="234950"/>
  <slicer name="COSTO TOTALE" xr10:uid="{7C1E2886-CB71-429A-AF9B-5929CD5F0102}" cache="FiltroDati_COSTO_TOTALE" caption="COSTO TOTALE" columnCount="2" level="1" rowHeight="234950"/>
  <slicer name="ORE" xr10:uid="{280ABDEC-8848-4AD7-ABE2-EA98B706C80C}" cache="FiltroDati_ORE" caption="ORE" columnCount="3" level="1" rowHeight="234950"/>
  <slicer name="ID DOCENTE 1" xr10:uid="{75362BC8-1776-4945-B7DA-333112329989}" cache="FiltroDati_ID_DOCENTE2" caption="ID DOCENTE" columnCount="2" level="1" rowHeight="234950"/>
  <slicer name="ID DOCENTE" xr10:uid="{145D7128-3AF2-445B-A575-B73D52D9DA78}" cache="FiltroDati_ID_DOCENTE2" caption="ID DOCENTE" level="1" rowHeight="234950"/>
  <slicer name="ORE 1" xr10:uid="{BA9B0B94-D696-4718-9134-08425429D409}" cache="FiltroDati_ORE1" caption="ORE" level="1" rowHeight="234950"/>
  <slicer name="FATTURATO CORSO" xr10:uid="{773ED0EF-1254-4E68-A0D3-8866E87DACF7}" cache="FiltroDati_FATTURATO_CORSO" caption="FATTURATO CORSO" startItem="2" level="1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9AA2E9-44CB-44B2-9843-D438A5FB19FF}" name="Tabella1" displayName="Tabella1" ref="A1:E5" totalsRowShown="0">
  <autoFilter ref="A1:E5" xr:uid="{959AA2E9-44CB-44B2-9843-D438A5FB19FF}"/>
  <tableColumns count="5">
    <tableColumn id="1" xr3:uid="{9E4236B9-4FCF-4659-B3E5-D8E1BB36D088}" name="ID SEDE"/>
    <tableColumn id="2" xr3:uid="{DE2C01F0-15B9-4E74-8BA6-77C1D60DE65C}" name="DENOMINAZIONE"/>
    <tableColumn id="3" xr3:uid="{1F79EB0C-70B8-4786-B6E2-E8DEF732A0E3}" name="CITTA'"/>
    <tableColumn id="4" xr3:uid="{AA87B362-E327-4B36-8612-6BBDC6B0A9B3}" name="INDIRIZZO"/>
    <tableColumn id="5" xr3:uid="{36362711-11A4-4EC7-A4B5-7F0AE1C3E1F6}" name="CAPIENZ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9D01DE6-E164-48F6-85DC-24660DEA7A0A}" name="Tabella3" displayName="Tabella3" ref="A1:F17" totalsRowShown="0">
  <autoFilter ref="A1:F17" xr:uid="{79D01DE6-E164-48F6-85DC-24660DEA7A0A}"/>
  <tableColumns count="6">
    <tableColumn id="1" xr3:uid="{C9EBCE21-A659-4AC7-B12B-08E0FB9FC454}" name="ID CORSO"/>
    <tableColumn id="2" xr3:uid="{1DE0FAF6-224C-4FBE-BED9-9E5321A7926C}" name="TITOLO"/>
    <tableColumn id="3" xr3:uid="{46E8FD04-AFBE-4AA7-8B06-EFFD0BA90A47}" name="MATERIA"/>
    <tableColumn id="4" xr3:uid="{CEFA729F-F74E-4D9F-BBEF-7521C5675BE0}" name="PREZZO" dataDxfId="63"/>
    <tableColumn id="5" xr3:uid="{8E82E490-9485-44D6-9CDA-CDFA850C0A33}" name="ORE"/>
    <tableColumn id="6" xr3:uid="{FA98DAC8-CF25-4116-B709-913FF91134EF}" name="COSTO TOTALE" dataDxfId="62">
      <calculatedColumnFormula>Tabella3[[#This Row],[PREZZO]]*Tabella3[[#This Row],[ORE]]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DC1D44D-44D1-4DE6-8444-FECB985DEBCE}" name="Tabella4" displayName="Tabella4" ref="A1:G17" totalsRowShown="0">
  <autoFilter ref="A1:G17" xr:uid="{EDC1D44D-44D1-4DE6-8444-FECB985DEBCE}"/>
  <sortState xmlns:xlrd2="http://schemas.microsoft.com/office/spreadsheetml/2017/richdata2" ref="A2:G2">
    <sortCondition ref="A1:A2"/>
  </sortState>
  <tableColumns count="7">
    <tableColumn id="1" xr3:uid="{84ACD1BF-EC95-4D23-ACCA-323999AFA0D9}" name="ID DOCENTE"/>
    <tableColumn id="2" xr3:uid="{01D33649-8E21-4332-8B48-FD684F410563}" name="NOME"/>
    <tableColumn id="3" xr3:uid="{06BB2182-281F-492E-90CB-F1C9B216CAF8}" name="COGNOME"/>
    <tableColumn id="4" xr3:uid="{1320805B-D942-4200-ABD2-6CE6B1DA0C4E}" name="DATA DI NASCITA" dataDxfId="61"/>
    <tableColumn id="5" xr3:uid="{1561B627-4911-40DE-9854-B8E8FF6EF6B6}" name="CITTA' DI RESIDENZA"/>
    <tableColumn id="6" xr3:uid="{5FE08F1D-64AC-4A30-B760-DFD1B1E65264}" name="MATERIA"/>
    <tableColumn id="7" xr3:uid="{396E2492-C026-4330-81EE-4BDDB634AAED}" name="NOMINATIVO COMPLETO">
      <calculatedColumnFormula>B2&amp;" "&amp;C2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D20218A-30D2-40FC-9DA5-2D22FD356456}" name="Tabella5" displayName="Tabella5" ref="A1:H17" insertRowShift="1" totalsRowShown="0">
  <autoFilter ref="A1:H17" xr:uid="{BD20218A-30D2-40FC-9DA5-2D22FD356456}"/>
  <tableColumns count="8">
    <tableColumn id="1" xr3:uid="{E4406A61-EFC5-47FB-BAE8-0B1217220573}" name="ID PROGRAMMAZIONE"/>
    <tableColumn id="2" xr3:uid="{8219EC5E-CAEE-4617-AA9D-16C89F28D900}" name="ID CORSO"/>
    <tableColumn id="3" xr3:uid="{8E66911A-C355-4A21-A8FD-DF2CF317022C}" name="ID DOCENTE"/>
    <tableColumn id="4" xr3:uid="{BF504F9B-87EF-4DEE-9000-471EDA7E4270}" name="ID SEDE"/>
    <tableColumn id="5" xr3:uid="{E1FACEB1-330A-497E-9EB0-A2691FBC6E42}" name="DATA INIZIO" dataDxfId="60"/>
    <tableColumn id="6" xr3:uid="{F4CE6D5E-7552-45C3-9976-D7DC427E6945}" name="DATA FINE" dataDxfId="59"/>
    <tableColumn id="7" xr3:uid="{90E731E5-4CDB-43BB-84B8-BDDD01ADF8E3}" name="ORE" dataDxfId="58">
      <calculatedColumnFormula>_xlfn.XLOOKUP(Tabella5[[#This Row],[ID CORSO]],TIT_CORSO,ORE,,0)</calculatedColumnFormula>
    </tableColumn>
    <tableColumn id="8" xr3:uid="{6E993AAA-F9B9-4C4F-AC81-28ABECD2C367}" name="FATTURATO CORSO" dataDxfId="57">
      <calculatedColumnFormula>_xlfn.XLOOKUP(Tabella5[[#This Row],[ID CORSO]],NOME_CORSO,COSTO_TOTALE,0)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5" Type="http://schemas.openxmlformats.org/officeDocument/2006/relationships/drawing" Target="../drawings/drawing4.xml"/><Relationship Id="rId4" Type="http://schemas.openxmlformats.org/officeDocument/2006/relationships/pivotTable" Target="../pivotTables/pivotTable6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6.xml"/><Relationship Id="rId3" Type="http://schemas.openxmlformats.org/officeDocument/2006/relationships/pivotTable" Target="../pivotTables/pivotTable9.xml"/><Relationship Id="rId7" Type="http://schemas.openxmlformats.org/officeDocument/2006/relationships/pivotTable" Target="../pivotTables/pivotTable13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6" Type="http://schemas.openxmlformats.org/officeDocument/2006/relationships/pivotTable" Target="../pivotTables/pivotTable12.xml"/><Relationship Id="rId5" Type="http://schemas.openxmlformats.org/officeDocument/2006/relationships/pivotTable" Target="../pivotTables/pivotTable11.xml"/><Relationship Id="rId4" Type="http://schemas.openxmlformats.org/officeDocument/2006/relationships/pivotTable" Target="../pivotTables/pivot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ACCF1-49E6-418B-A222-D09AC020AFA1}">
  <sheetPr codeName="Foglio7">
    <tabColor theme="4" tint="-0.499984740745262"/>
  </sheetPr>
  <dimension ref="A1"/>
  <sheetViews>
    <sheetView showGridLines="0" showRowColHeaders="0" tabSelected="1" workbookViewId="0">
      <selection activeCell="C2" sqref="C2"/>
    </sheetView>
  </sheetViews>
  <sheetFormatPr defaultColWidth="9" defaultRowHeight="15" x14ac:dyDescent="0.25"/>
  <cols>
    <col min="1" max="16384" width="9" style="44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E614B-D2FE-4E18-AAFB-58C1609EC6BB}">
  <sheetPr codeName="Foglio6">
    <tabColor rgb="FFFF0000"/>
  </sheetPr>
  <dimension ref="B1:V25"/>
  <sheetViews>
    <sheetView showGridLines="0" zoomScaleNormal="100" workbookViewId="0">
      <selection activeCell="F21" sqref="F21"/>
    </sheetView>
  </sheetViews>
  <sheetFormatPr defaultColWidth="9.140625" defaultRowHeight="15" x14ac:dyDescent="0.25"/>
  <cols>
    <col min="1" max="1" width="13.140625" style="44" customWidth="1"/>
    <col min="2" max="2" width="15.5703125" style="44" customWidth="1"/>
    <col min="3" max="3" width="56.5703125" style="44" customWidth="1"/>
    <col min="4" max="4" width="13.28515625" style="44" customWidth="1"/>
    <col min="5" max="5" width="15.5703125" style="44" customWidth="1"/>
    <col min="6" max="6" width="59.85546875" style="44" customWidth="1"/>
    <col min="7" max="12" width="15.5703125" style="44" customWidth="1"/>
    <col min="13" max="17" width="9.140625" style="44"/>
    <col min="18" max="18" width="9.7109375" style="44" bestFit="1" customWidth="1"/>
    <col min="19" max="16384" width="9.140625" style="44"/>
  </cols>
  <sheetData>
    <row r="1" spans="2:22" ht="64.150000000000006" customHeight="1" x14ac:dyDescent="0.25"/>
    <row r="2" spans="2:22" ht="54.75" customHeight="1" x14ac:dyDescent="0.25"/>
    <row r="3" spans="2:22" ht="13.9" customHeight="1" thickBot="1" x14ac:dyDescent="0.3">
      <c r="P3" s="44">
        <f>_xlfn.XLOOKUP(F19,corsi!B:B,corsi!C:C,,0)</f>
        <v>0</v>
      </c>
      <c r="Q3" s="44" t="str" cm="1">
        <f t="array" ref="Q3:Q6">_xlfn._xlws.SORT(_xlfn.UNIQUE(_xlfn._xlws.FILTER(MAT_CORSO,MAT_CORSO&lt;&gt;"")))</f>
        <v>FISICA</v>
      </c>
      <c r="R3" s="44" t="b" cm="1">
        <f t="array" ref="R3">IF(F18&lt;&gt;"",_xlfn._xlws.SORT(_xlfn._xlws.FILTER(docenti!F:G,docenti!F:F='INSERIMENTO DATI'!F18),2))</f>
        <v>0</v>
      </c>
      <c r="T3" s="44" t="b" cm="1">
        <f t="array" ref="T3">IF(F18&lt;&gt;"",_xlfn._xlws.SORT(_xlfn._xlws.FILTER(corsi!B:C,corsi!C:C='INSERIMENTO DATI'!F18),2))</f>
        <v>0</v>
      </c>
      <c r="V3" s="44" t="str" cm="1">
        <f t="array" ref="V3:V6">_xlfn._xlws.SORT(_xlfn.UNIQUE(_xlfn._xlws.FILTER(CITTA_SEDE,CITTA_SEDE&lt;&gt;"")))</f>
        <v>BARI</v>
      </c>
    </row>
    <row r="4" spans="2:22" ht="39" customHeight="1" thickBot="1" x14ac:dyDescent="0.3">
      <c r="B4" s="76" t="s">
        <v>155</v>
      </c>
      <c r="C4" s="77"/>
      <c r="E4" s="76" t="s">
        <v>156</v>
      </c>
      <c r="F4" s="77"/>
      <c r="Q4" s="44" t="str">
        <v>INGLESE</v>
      </c>
      <c r="V4" s="44" t="str">
        <v xml:space="preserve">BOLOGNA </v>
      </c>
    </row>
    <row r="5" spans="2:22" ht="19.350000000000001" customHeight="1" x14ac:dyDescent="0.25">
      <c r="B5" s="26"/>
      <c r="C5" s="24"/>
      <c r="E5" s="19"/>
      <c r="F5" s="21"/>
      <c r="Q5" s="44" t="str">
        <v>ITALIANO</v>
      </c>
      <c r="V5" s="44" t="str">
        <v>NAPOLI</v>
      </c>
    </row>
    <row r="6" spans="2:22" ht="15.75" x14ac:dyDescent="0.25">
      <c r="B6" s="27" t="s">
        <v>32</v>
      </c>
      <c r="C6" s="7"/>
      <c r="E6" s="20" t="s">
        <v>40</v>
      </c>
      <c r="F6" s="7"/>
      <c r="Q6" s="44" t="str">
        <v>MATEMATICA</v>
      </c>
      <c r="V6" s="44" t="str">
        <v>ONLINE</v>
      </c>
    </row>
    <row r="7" spans="2:22" ht="15.75" x14ac:dyDescent="0.25">
      <c r="B7" s="27" t="s">
        <v>33</v>
      </c>
      <c r="C7" s="12"/>
      <c r="E7" s="20" t="s">
        <v>39</v>
      </c>
      <c r="F7" s="12"/>
    </row>
    <row r="8" spans="2:22" ht="15.75" x14ac:dyDescent="0.25">
      <c r="B8" s="27" t="s">
        <v>34</v>
      </c>
      <c r="C8" s="12"/>
      <c r="E8" s="20" t="s">
        <v>41</v>
      </c>
      <c r="F8" s="63"/>
      <c r="H8" s="57"/>
    </row>
    <row r="9" spans="2:22" ht="15.75" x14ac:dyDescent="0.25">
      <c r="B9" s="27" t="s">
        <v>35</v>
      </c>
      <c r="C9" s="13"/>
      <c r="E9" s="20" t="s">
        <v>42</v>
      </c>
      <c r="F9" s="13"/>
    </row>
    <row r="10" spans="2:22" ht="22.35" customHeight="1" x14ac:dyDescent="0.25">
      <c r="B10" s="26"/>
      <c r="C10" s="24"/>
      <c r="E10" s="19"/>
      <c r="F10" s="21"/>
    </row>
    <row r="11" spans="2:22" ht="48" customHeight="1" thickBot="1" x14ac:dyDescent="0.3">
      <c r="B11" s="28"/>
      <c r="C11" s="25"/>
      <c r="E11" s="23"/>
      <c r="F11" s="22"/>
    </row>
    <row r="12" spans="2:22" ht="8.65" customHeight="1" x14ac:dyDescent="0.25"/>
    <row r="13" spans="2:22" ht="4.9000000000000004" customHeight="1" x14ac:dyDescent="0.25"/>
    <row r="14" spans="2:22" ht="2.65" customHeight="1" x14ac:dyDescent="0.25"/>
    <row r="15" spans="2:22" ht="6.75" customHeight="1" thickBot="1" x14ac:dyDescent="0.3"/>
    <row r="16" spans="2:22" ht="27" customHeight="1" x14ac:dyDescent="0.25">
      <c r="B16" s="78" t="s">
        <v>157</v>
      </c>
      <c r="C16" s="79"/>
      <c r="E16" s="78" t="s">
        <v>158</v>
      </c>
      <c r="F16" s="79"/>
    </row>
    <row r="17" spans="2:6" ht="15.6" customHeight="1" x14ac:dyDescent="0.25">
      <c r="B17" s="80"/>
      <c r="C17" s="81"/>
      <c r="E17" s="80"/>
      <c r="F17" s="81"/>
    </row>
    <row r="18" spans="2:6" ht="15.75" x14ac:dyDescent="0.25">
      <c r="B18" s="8"/>
      <c r="C18" s="11"/>
      <c r="E18" s="30" t="s">
        <v>39</v>
      </c>
      <c r="F18" s="7"/>
    </row>
    <row r="19" spans="2:6" ht="15.75" x14ac:dyDescent="0.25">
      <c r="B19" s="18" t="s">
        <v>36</v>
      </c>
      <c r="C19" s="7"/>
      <c r="E19" s="30" t="s">
        <v>43</v>
      </c>
      <c r="F19" s="12"/>
    </row>
    <row r="20" spans="2:6" ht="15.75" x14ac:dyDescent="0.25">
      <c r="B20" s="18" t="s">
        <v>37</v>
      </c>
      <c r="C20" s="12"/>
      <c r="E20" s="30" t="s">
        <v>44</v>
      </c>
      <c r="F20" s="12"/>
    </row>
    <row r="21" spans="2:6" ht="15.75" x14ac:dyDescent="0.25">
      <c r="B21" s="18" t="s">
        <v>38</v>
      </c>
      <c r="C21" s="64"/>
      <c r="E21" s="30" t="s">
        <v>45</v>
      </c>
      <c r="F21" s="7"/>
    </row>
    <row r="22" spans="2:6" ht="15.75" x14ac:dyDescent="0.25">
      <c r="B22" s="18" t="s">
        <v>33</v>
      </c>
      <c r="C22" s="12"/>
      <c r="E22" s="30" t="s">
        <v>46</v>
      </c>
      <c r="F22" s="65"/>
    </row>
    <row r="23" spans="2:6" ht="15.75" x14ac:dyDescent="0.25">
      <c r="B23" s="18" t="s">
        <v>39</v>
      </c>
      <c r="C23" s="7"/>
      <c r="E23" s="30" t="s">
        <v>47</v>
      </c>
      <c r="F23" s="64"/>
    </row>
    <row r="24" spans="2:6" ht="22.35" customHeight="1" x14ac:dyDescent="0.25">
      <c r="B24" s="8"/>
      <c r="C24" s="11"/>
      <c r="E24" s="31"/>
      <c r="F24" s="32"/>
    </row>
    <row r="25" spans="2:6" ht="41.45" customHeight="1" thickBot="1" x14ac:dyDescent="0.3">
      <c r="B25" s="9"/>
      <c r="C25" s="10"/>
      <c r="E25" s="33"/>
      <c r="F25" s="29"/>
    </row>
  </sheetData>
  <mergeCells count="4">
    <mergeCell ref="B4:C4"/>
    <mergeCell ref="E4:F4"/>
    <mergeCell ref="B16:C17"/>
    <mergeCell ref="E16:F17"/>
  </mergeCells>
  <dataValidations count="6">
    <dataValidation type="list" allowBlank="1" showInputMessage="1" sqref="F7" xr:uid="{8689B78B-ADC9-4DF2-955C-5E6979B3C58C}">
      <formula1>_xlfn.ANCHORARRAY($Q$3)</formula1>
    </dataValidation>
    <dataValidation type="list" allowBlank="1" showInputMessage="1" showErrorMessage="1" sqref="C23 F18" xr:uid="{CA067F3E-F73B-4ED7-B97A-3AAC2C925496}">
      <formula1>_xlfn.ANCHORARRAY($Q$3)</formula1>
    </dataValidation>
    <dataValidation type="list" allowBlank="1" showInputMessage="1" showErrorMessage="1" sqref="F19" xr:uid="{93612B99-7C22-4168-B7E7-6FB625DD449F}">
      <formula1>INDEX(_xlfn.ANCHORARRAY($T$3),,1)</formula1>
    </dataValidation>
    <dataValidation type="list" allowBlank="1" showInputMessage="1" showErrorMessage="1" sqref="F20" xr:uid="{32B7C029-0B8B-4DD4-9503-CAA40A9D6879}">
      <formula1>INDEX(_xlfn.ANCHORARRAY($R$3),,2)</formula1>
    </dataValidation>
    <dataValidation type="list" allowBlank="1" showInputMessage="1" showErrorMessage="1" sqref="F21" xr:uid="{65B7F666-BCB2-4942-9261-81AB1439B863}">
      <formula1>_xlfn.ANCHORARRAY($V$3)</formula1>
    </dataValidation>
    <dataValidation type="date" operator="greaterThan" allowBlank="1" showInputMessage="1" showErrorMessage="1" sqref="F22:F23" xr:uid="{83F17E7B-41DE-415A-BDBD-633C67A7102C}">
      <formula1>TODAY()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F185E-B6AA-4845-B8DA-2FD0BE801AFB}">
  <sheetPr codeName="Foglio11">
    <tabColor theme="5"/>
  </sheetPr>
  <dimension ref="D10:N39"/>
  <sheetViews>
    <sheetView showGridLines="0" showRowColHeaders="0" workbookViewId="0">
      <selection activeCell="K17" sqref="K17"/>
    </sheetView>
  </sheetViews>
  <sheetFormatPr defaultColWidth="9" defaultRowHeight="15" x14ac:dyDescent="0.25"/>
  <cols>
    <col min="1" max="3" width="9" style="36"/>
    <col min="4" max="4" width="25.5703125" style="36" customWidth="1"/>
    <col min="5" max="5" width="21.140625" style="36" bestFit="1" customWidth="1"/>
    <col min="6" max="9" width="25.5703125" style="36" customWidth="1"/>
    <col min="10" max="11" width="20.5703125" style="36" customWidth="1"/>
    <col min="12" max="12" width="25.42578125" style="36" bestFit="1" customWidth="1"/>
    <col min="13" max="16384" width="9" style="36"/>
  </cols>
  <sheetData>
    <row r="10" spans="4:14" ht="15.75" thickBot="1" x14ac:dyDescent="0.3">
      <c r="D10" s="38"/>
    </row>
    <row r="11" spans="4:14" ht="21.75" thickBot="1" x14ac:dyDescent="0.4">
      <c r="D11" s="43" t="s">
        <v>160</v>
      </c>
      <c r="E11" s="41" t="s" vm="1">
        <v>199</v>
      </c>
      <c r="F11" s="35"/>
      <c r="G11" s="45" t="s">
        <v>22</v>
      </c>
      <c r="H11" s="46"/>
      <c r="I11" s="47">
        <f>_xlfn.XLOOKUP(E11,NOM_COMPLETO,DATA_DI_NASCITA,,0)</f>
        <v>26490</v>
      </c>
    </row>
    <row r="12" spans="4:14" ht="21.75" thickBot="1" x14ac:dyDescent="0.4">
      <c r="D12" s="39" t="s">
        <v>155</v>
      </c>
      <c r="E12" s="40" t="s">
        <v>167</v>
      </c>
      <c r="F12" s="34"/>
      <c r="G12" s="48" t="s">
        <v>168</v>
      </c>
      <c r="H12" s="49"/>
      <c r="I12" s="50" t="str">
        <f>_xlfn.XLOOKUP(E11,NOM_COMPLETO,CITTA__DI_RESIDENZA,,0)</f>
        <v>BARI</v>
      </c>
    </row>
    <row r="13" spans="4:14" ht="21.75" thickBot="1" x14ac:dyDescent="0.4">
      <c r="D13" s="72" t="s">
        <v>52</v>
      </c>
      <c r="E13" s="71" t="s">
        <v>182</v>
      </c>
      <c r="F13" s="44"/>
      <c r="G13" s="51" t="s">
        <v>16</v>
      </c>
      <c r="H13" s="52"/>
      <c r="I13" s="53" t="str">
        <f>_xlfn.XLOOKUP(E11,NOM_COMPLETO,MAT_DOCENTE,,0)</f>
        <v>FISICA</v>
      </c>
    </row>
    <row r="14" spans="4:14" ht="15.75" thickBot="1" x14ac:dyDescent="0.3">
      <c r="D14"/>
      <c r="E14"/>
      <c r="F14" s="44"/>
    </row>
    <row r="15" spans="4:14" ht="22.5" thickTop="1" thickBot="1" x14ac:dyDescent="0.3">
      <c r="D15"/>
      <c r="E15"/>
      <c r="F15" s="44"/>
      <c r="G15" s="54" t="s">
        <v>164</v>
      </c>
      <c r="H15" s="55"/>
      <c r="I15" s="56">
        <f>SUMIF(programmazione!C:C,E11,programmazione!H:H)</f>
        <v>100000</v>
      </c>
    </row>
    <row r="16" spans="4:14" ht="22.5" thickTop="1" thickBot="1" x14ac:dyDescent="0.3">
      <c r="D16"/>
      <c r="E16"/>
      <c r="I16" s="35"/>
      <c r="J16" s="35"/>
      <c r="K16" s="35"/>
      <c r="L16" s="82"/>
      <c r="M16" s="82"/>
      <c r="N16" s="82"/>
    </row>
    <row r="17" spans="4:14" ht="21.75" thickBot="1" x14ac:dyDescent="0.3">
      <c r="D17"/>
      <c r="E17"/>
      <c r="J17" s="35"/>
      <c r="K17" s="35"/>
      <c r="L17" s="83"/>
      <c r="M17" s="83"/>
      <c r="N17" s="83"/>
    </row>
    <row r="18" spans="4:14" ht="16.5" thickTop="1" thickBot="1" x14ac:dyDescent="0.3">
      <c r="D18"/>
      <c r="E18"/>
    </row>
    <row r="19" spans="4:14" ht="16.5" thickTop="1" thickBot="1" x14ac:dyDescent="0.3">
      <c r="D19"/>
      <c r="E19"/>
    </row>
    <row r="20" spans="4:14" ht="16.5" thickTop="1" thickBot="1" x14ac:dyDescent="0.3">
      <c r="D20"/>
      <c r="E20"/>
    </row>
    <row r="21" spans="4:14" ht="15.75" thickBot="1" x14ac:dyDescent="0.3">
      <c r="D21"/>
      <c r="E21"/>
    </row>
    <row r="22" spans="4:14" ht="16.5" thickTop="1" thickBot="1" x14ac:dyDescent="0.3">
      <c r="D22"/>
      <c r="E22"/>
    </row>
    <row r="23" spans="4:14" ht="16.5" thickTop="1" thickBot="1" x14ac:dyDescent="0.3">
      <c r="D23"/>
      <c r="E23"/>
      <c r="G23" s="44"/>
      <c r="H23" s="44"/>
    </row>
    <row r="24" spans="4:14" ht="16.5" thickTop="1" thickBot="1" x14ac:dyDescent="0.3">
      <c r="D24"/>
      <c r="E24"/>
      <c r="G24" s="44"/>
      <c r="H24" s="44"/>
    </row>
    <row r="25" spans="4:14" ht="15.75" thickBot="1" x14ac:dyDescent="0.3">
      <c r="D25"/>
      <c r="E25"/>
    </row>
    <row r="26" spans="4:14" ht="16.5" thickTop="1" thickBot="1" x14ac:dyDescent="0.3">
      <c r="D26"/>
      <c r="E26"/>
    </row>
    <row r="27" spans="4:14" ht="16.5" thickTop="1" thickBot="1" x14ac:dyDescent="0.3">
      <c r="D27"/>
      <c r="E27"/>
    </row>
    <row r="28" spans="4:14" ht="16.5" thickTop="1" thickBot="1" x14ac:dyDescent="0.3">
      <c r="D28"/>
      <c r="E28"/>
    </row>
    <row r="29" spans="4:14" x14ac:dyDescent="0.25">
      <c r="D29"/>
      <c r="E29"/>
    </row>
    <row r="30" spans="4:14" x14ac:dyDescent="0.25">
      <c r="D30"/>
      <c r="E30"/>
    </row>
    <row r="31" spans="4:14" x14ac:dyDescent="0.25">
      <c r="D31"/>
      <c r="E31"/>
    </row>
    <row r="32" spans="4:14" ht="15.75" thickBot="1" x14ac:dyDescent="0.3">
      <c r="D32"/>
      <c r="E32"/>
    </row>
    <row r="33" spans="4:5" x14ac:dyDescent="0.25">
      <c r="D33"/>
      <c r="E33"/>
    </row>
    <row r="34" spans="4:5" x14ac:dyDescent="0.25">
      <c r="D34"/>
      <c r="E34"/>
    </row>
    <row r="35" spans="4:5" x14ac:dyDescent="0.25">
      <c r="D35"/>
      <c r="E35"/>
    </row>
    <row r="36" spans="4:5" x14ac:dyDescent="0.25">
      <c r="D36"/>
      <c r="E36"/>
    </row>
    <row r="37" spans="4:5" x14ac:dyDescent="0.25">
      <c r="D37"/>
      <c r="E37"/>
    </row>
    <row r="38" spans="4:5" ht="15.75" thickBot="1" x14ac:dyDescent="0.3">
      <c r="D38"/>
      <c r="E38"/>
    </row>
    <row r="39" spans="4:5" x14ac:dyDescent="0.25">
      <c r="D39" s="44"/>
      <c r="E39" s="44"/>
    </row>
  </sheetData>
  <mergeCells count="2">
    <mergeCell ref="L16:N16"/>
    <mergeCell ref="L17:N17"/>
  </mergeCells>
  <pageMargins left="0.7" right="0.7" top="0.75" bottom="0.75" header="0.3" footer="0.3"/>
  <pageSetup paperSize="9" orientation="portrait" horizontalDpi="4294967293" verticalDpi="0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CD124-F36B-4E4B-8B52-9B1FB3FDEAD9}">
  <sheetPr codeName="Foglio13">
    <tabColor rgb="FFFFFF00"/>
  </sheetPr>
  <dimension ref="B8:AC283"/>
  <sheetViews>
    <sheetView showGridLines="0" showRowColHeaders="0" workbookViewId="0">
      <selection activeCell="L10" sqref="L10"/>
    </sheetView>
  </sheetViews>
  <sheetFormatPr defaultColWidth="9" defaultRowHeight="15" x14ac:dyDescent="0.25"/>
  <cols>
    <col min="1" max="1" width="9" style="36"/>
    <col min="2" max="2" width="25" style="36" bestFit="1" customWidth="1"/>
    <col min="3" max="3" width="11.7109375" style="36" bestFit="1" customWidth="1"/>
    <col min="4" max="8" width="15.5703125" style="36" customWidth="1"/>
    <col min="9" max="9" width="18.28515625" style="36" bestFit="1" customWidth="1"/>
    <col min="10" max="10" width="20.42578125" style="36" bestFit="1" customWidth="1"/>
    <col min="11" max="11" width="8" style="36" customWidth="1"/>
    <col min="12" max="12" width="20.5703125" style="36" bestFit="1" customWidth="1"/>
    <col min="13" max="13" width="16.28515625" style="36" bestFit="1" customWidth="1"/>
    <col min="14" max="17" width="15.5703125" style="36" customWidth="1"/>
    <col min="18" max="18" width="15.140625" style="36" bestFit="1" customWidth="1"/>
    <col min="19" max="19" width="14.5703125" style="36" bestFit="1" customWidth="1"/>
    <col min="20" max="20" width="13.28515625" style="36" bestFit="1" customWidth="1"/>
    <col min="21" max="21" width="14.85546875" style="36" bestFit="1" customWidth="1"/>
    <col min="22" max="22" width="10.85546875" style="36" bestFit="1" customWidth="1"/>
    <col min="23" max="23" width="15.140625" style="36" bestFit="1" customWidth="1"/>
    <col min="24" max="24" width="16.42578125" style="36" bestFit="1" customWidth="1"/>
    <col min="25" max="28" width="18" style="36" bestFit="1" customWidth="1"/>
    <col min="29" max="29" width="16.42578125" style="36" bestFit="1" customWidth="1"/>
    <col min="30" max="16384" width="9" style="36"/>
  </cols>
  <sheetData>
    <row r="8" spans="2:29" x14ac:dyDescent="0.25">
      <c r="B8" s="44"/>
      <c r="C8" s="44"/>
    </row>
    <row r="9" spans="2:29" x14ac:dyDescent="0.25">
      <c r="M9" s="66"/>
    </row>
    <row r="10" spans="2:29" x14ac:dyDescent="0.25">
      <c r="B10" s="57"/>
      <c r="C10" s="67" t="s">
        <v>161</v>
      </c>
      <c r="D10" s="44"/>
      <c r="E10" s="44"/>
      <c r="F10" s="44"/>
      <c r="G10" s="44"/>
      <c r="H10" s="44"/>
      <c r="I10" s="57"/>
      <c r="J10" s="67" t="s">
        <v>162</v>
      </c>
      <c r="K10" s="44"/>
      <c r="L10" s="44"/>
      <c r="M10" s="42" t="s">
        <v>165</v>
      </c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</row>
    <row r="11" spans="2:29" x14ac:dyDescent="0.25">
      <c r="B11" s="61" t="s">
        <v>63</v>
      </c>
      <c r="C11" s="86"/>
      <c r="D11" s="44"/>
      <c r="E11" s="44"/>
      <c r="F11" s="44"/>
      <c r="G11" s="44"/>
      <c r="H11" s="44"/>
      <c r="I11" s="61" t="s">
        <v>63</v>
      </c>
      <c r="J11" s="86">
        <v>4</v>
      </c>
      <c r="K11" s="44"/>
      <c r="L11" s="58" t="s">
        <v>199</v>
      </c>
      <c r="M11" s="59">
        <v>100000</v>
      </c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</row>
    <row r="12" spans="2:29" x14ac:dyDescent="0.25">
      <c r="B12" s="60" t="s">
        <v>91</v>
      </c>
      <c r="C12" s="85">
        <v>200</v>
      </c>
      <c r="D12" s="44"/>
      <c r="E12" s="44"/>
      <c r="F12" s="44"/>
      <c r="G12" s="44"/>
      <c r="H12" s="44"/>
      <c r="I12" s="60" t="s">
        <v>72</v>
      </c>
      <c r="J12" s="85">
        <v>1</v>
      </c>
      <c r="K12" s="44"/>
      <c r="L12" s="58" t="s">
        <v>91</v>
      </c>
      <c r="M12" s="59">
        <v>100000</v>
      </c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</row>
    <row r="13" spans="2:29" x14ac:dyDescent="0.25">
      <c r="B13" s="60" t="s">
        <v>154</v>
      </c>
      <c r="C13" s="85">
        <v>200</v>
      </c>
      <c r="D13" s="44"/>
      <c r="E13" s="44"/>
      <c r="F13" s="44"/>
      <c r="G13" s="44"/>
      <c r="H13" s="44"/>
      <c r="I13" s="60" t="s">
        <v>127</v>
      </c>
      <c r="J13" s="85">
        <v>1</v>
      </c>
      <c r="K13" s="44"/>
      <c r="L13" s="58" t="s">
        <v>152</v>
      </c>
      <c r="M13" s="59">
        <v>100000</v>
      </c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</row>
    <row r="14" spans="2:29" x14ac:dyDescent="0.25">
      <c r="B14" s="60" t="s">
        <v>193</v>
      </c>
      <c r="C14" s="85">
        <v>90</v>
      </c>
      <c r="D14" s="44"/>
      <c r="E14" s="44"/>
      <c r="F14" s="44"/>
      <c r="G14" s="44"/>
      <c r="H14" s="44"/>
      <c r="I14" s="60" t="s">
        <v>67</v>
      </c>
      <c r="J14" s="85">
        <v>1</v>
      </c>
      <c r="K14" s="44"/>
      <c r="L14" s="58" t="s">
        <v>201</v>
      </c>
      <c r="M14" s="59">
        <v>100000</v>
      </c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</row>
    <row r="15" spans="2:29" x14ac:dyDescent="0.25">
      <c r="B15" s="60" t="s">
        <v>152</v>
      </c>
      <c r="C15" s="85">
        <v>200</v>
      </c>
      <c r="D15" s="44"/>
      <c r="E15" s="44"/>
      <c r="F15" s="44"/>
      <c r="G15" s="44"/>
      <c r="H15" s="44"/>
      <c r="I15" s="60" t="s">
        <v>174</v>
      </c>
      <c r="J15" s="85">
        <v>1</v>
      </c>
      <c r="K15" s="44"/>
      <c r="L15" s="58" t="s">
        <v>195</v>
      </c>
      <c r="M15" s="59">
        <v>100000</v>
      </c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</row>
    <row r="16" spans="2:29" x14ac:dyDescent="0.25">
      <c r="B16" s="61" t="s">
        <v>53</v>
      </c>
      <c r="C16" s="86"/>
      <c r="D16" s="44"/>
      <c r="E16" s="44"/>
      <c r="F16" s="44"/>
      <c r="G16" s="44"/>
      <c r="H16" s="44"/>
      <c r="I16" s="61" t="s">
        <v>53</v>
      </c>
      <c r="J16" s="86">
        <v>4</v>
      </c>
      <c r="K16" s="44"/>
      <c r="L16" s="58" t="s">
        <v>197</v>
      </c>
      <c r="M16" s="59">
        <v>80000</v>
      </c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</row>
    <row r="17" spans="2:29" x14ac:dyDescent="0.25">
      <c r="B17" s="60" t="s">
        <v>192</v>
      </c>
      <c r="C17" s="85">
        <v>150</v>
      </c>
      <c r="D17" s="44"/>
      <c r="E17" s="44"/>
      <c r="F17" s="44"/>
      <c r="G17" s="44"/>
      <c r="H17" s="44"/>
      <c r="I17" s="60" t="s">
        <v>75</v>
      </c>
      <c r="J17" s="85">
        <v>1</v>
      </c>
      <c r="K17" s="44"/>
      <c r="L17" s="58" t="s">
        <v>196</v>
      </c>
      <c r="M17" s="59">
        <v>80000</v>
      </c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</row>
    <row r="18" spans="2:29" x14ac:dyDescent="0.25">
      <c r="B18" s="60" t="s">
        <v>197</v>
      </c>
      <c r="C18" s="85">
        <v>200</v>
      </c>
      <c r="D18" s="44"/>
      <c r="E18" s="44"/>
      <c r="F18" s="44"/>
      <c r="G18" s="44"/>
      <c r="H18" s="44"/>
      <c r="I18" s="60" t="s">
        <v>77</v>
      </c>
      <c r="J18" s="85">
        <v>1</v>
      </c>
      <c r="K18" s="44"/>
      <c r="L18" s="58" t="s">
        <v>154</v>
      </c>
      <c r="M18" s="59">
        <v>60000</v>
      </c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</row>
    <row r="19" spans="2:29" x14ac:dyDescent="0.25">
      <c r="B19" s="60" t="s">
        <v>137</v>
      </c>
      <c r="C19" s="85">
        <v>200</v>
      </c>
      <c r="D19" s="44"/>
      <c r="E19" s="44"/>
      <c r="F19" s="44"/>
      <c r="G19" s="44"/>
      <c r="H19" s="44"/>
      <c r="I19" s="60" t="s">
        <v>65</v>
      </c>
      <c r="J19" s="85">
        <v>1</v>
      </c>
      <c r="K19" s="44"/>
      <c r="L19" s="58" t="s">
        <v>140</v>
      </c>
      <c r="M19" s="59">
        <v>50000</v>
      </c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</row>
    <row r="20" spans="2:29" x14ac:dyDescent="0.25">
      <c r="B20" s="60" t="s">
        <v>196</v>
      </c>
      <c r="C20" s="85">
        <v>200</v>
      </c>
      <c r="D20" s="44"/>
      <c r="E20" s="44"/>
      <c r="F20" s="44"/>
      <c r="G20" s="44"/>
      <c r="H20" s="44"/>
      <c r="I20" s="60" t="s">
        <v>177</v>
      </c>
      <c r="J20" s="85">
        <v>1</v>
      </c>
      <c r="K20" s="44"/>
      <c r="L20" s="58" t="s">
        <v>137</v>
      </c>
      <c r="M20" s="59">
        <v>50000</v>
      </c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</row>
    <row r="21" spans="2:29" x14ac:dyDescent="0.25">
      <c r="B21" s="61" t="s">
        <v>61</v>
      </c>
      <c r="C21" s="86"/>
      <c r="D21" s="44"/>
      <c r="E21" s="44"/>
      <c r="F21" s="44"/>
      <c r="G21" s="44"/>
      <c r="H21" s="44"/>
      <c r="I21" s="61" t="s">
        <v>61</v>
      </c>
      <c r="J21" s="86">
        <v>4</v>
      </c>
      <c r="K21" s="44"/>
      <c r="L21" s="57"/>
      <c r="M21" s="57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</row>
    <row r="22" spans="2:29" x14ac:dyDescent="0.25">
      <c r="B22" s="60" t="s">
        <v>140</v>
      </c>
      <c r="C22" s="85">
        <v>200</v>
      </c>
      <c r="D22" s="44"/>
      <c r="E22" s="44"/>
      <c r="F22" s="44"/>
      <c r="G22" s="44"/>
      <c r="H22" s="44"/>
      <c r="I22" s="60" t="s">
        <v>180</v>
      </c>
      <c r="J22" s="85">
        <v>1</v>
      </c>
      <c r="K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</row>
    <row r="23" spans="2:29" x14ac:dyDescent="0.25">
      <c r="B23" s="60" t="s">
        <v>200</v>
      </c>
      <c r="C23" s="85">
        <v>100</v>
      </c>
      <c r="D23" s="44"/>
      <c r="E23" s="44"/>
      <c r="F23" s="44"/>
      <c r="G23" s="44"/>
      <c r="H23" s="44"/>
      <c r="I23" s="60" t="s">
        <v>178</v>
      </c>
      <c r="J23" s="85">
        <v>1</v>
      </c>
      <c r="K23" s="44"/>
      <c r="L23" s="44"/>
      <c r="M23" s="62" t="s">
        <v>166</v>
      </c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</row>
    <row r="24" spans="2:29" x14ac:dyDescent="0.25">
      <c r="B24" s="60" t="s">
        <v>195</v>
      </c>
      <c r="C24" s="85">
        <v>200</v>
      </c>
      <c r="D24" s="44"/>
      <c r="E24" s="44"/>
      <c r="F24" s="44"/>
      <c r="G24" s="44"/>
      <c r="H24" s="44"/>
      <c r="I24" s="60" t="s">
        <v>173</v>
      </c>
      <c r="J24" s="85">
        <v>1</v>
      </c>
      <c r="K24" s="44"/>
      <c r="L24" s="60" t="s">
        <v>63</v>
      </c>
      <c r="M24" s="57">
        <v>300</v>
      </c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</row>
    <row r="25" spans="2:29" x14ac:dyDescent="0.25">
      <c r="B25" s="60" t="s">
        <v>198</v>
      </c>
      <c r="C25" s="85">
        <v>120</v>
      </c>
      <c r="D25" s="44"/>
      <c r="E25" s="44"/>
      <c r="F25" s="44"/>
      <c r="G25" s="44"/>
      <c r="H25" s="44"/>
      <c r="I25" s="60" t="s">
        <v>176</v>
      </c>
      <c r="J25" s="85">
        <v>1</v>
      </c>
      <c r="K25" s="44"/>
      <c r="L25" s="60" t="s">
        <v>53</v>
      </c>
      <c r="M25" s="57">
        <v>600</v>
      </c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</row>
    <row r="26" spans="2:29" x14ac:dyDescent="0.25">
      <c r="B26" s="61" t="s">
        <v>52</v>
      </c>
      <c r="C26" s="86"/>
      <c r="D26" s="44"/>
      <c r="E26" s="44"/>
      <c r="F26" s="44"/>
      <c r="G26" s="44"/>
      <c r="H26" s="44"/>
      <c r="I26" s="61" t="s">
        <v>52</v>
      </c>
      <c r="J26" s="86">
        <v>4</v>
      </c>
      <c r="K26" s="44"/>
      <c r="L26" s="60" t="s">
        <v>61</v>
      </c>
      <c r="M26" s="57">
        <v>450</v>
      </c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</row>
    <row r="27" spans="2:29" x14ac:dyDescent="0.25">
      <c r="B27" s="60" t="s">
        <v>201</v>
      </c>
      <c r="C27" s="85">
        <v>200</v>
      </c>
      <c r="D27" s="44"/>
      <c r="E27" s="44"/>
      <c r="F27" s="44"/>
      <c r="G27" s="44"/>
      <c r="H27" s="44"/>
      <c r="I27" s="60" t="s">
        <v>182</v>
      </c>
      <c r="J27" s="85">
        <v>1</v>
      </c>
      <c r="K27" s="44"/>
      <c r="L27" s="60" t="s">
        <v>52</v>
      </c>
      <c r="M27" s="57">
        <v>1000</v>
      </c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</row>
    <row r="28" spans="2:29" x14ac:dyDescent="0.25">
      <c r="B28" s="60" t="s">
        <v>138</v>
      </c>
      <c r="C28" s="85">
        <v>100</v>
      </c>
      <c r="D28" s="44"/>
      <c r="E28" s="44"/>
      <c r="F28" s="44"/>
      <c r="G28" s="44"/>
      <c r="H28" s="44"/>
      <c r="I28" s="60" t="s">
        <v>179</v>
      </c>
      <c r="J28" s="85">
        <v>1</v>
      </c>
      <c r="K28" s="44"/>
      <c r="L28" s="89" t="s">
        <v>153</v>
      </c>
      <c r="M28" s="90">
        <v>2350</v>
      </c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</row>
    <row r="29" spans="2:29" x14ac:dyDescent="0.25">
      <c r="B29" s="60" t="s">
        <v>194</v>
      </c>
      <c r="C29" s="85">
        <v>160</v>
      </c>
      <c r="D29" s="44"/>
      <c r="E29" s="44"/>
      <c r="F29" s="44"/>
      <c r="G29" s="44"/>
      <c r="H29" s="44"/>
      <c r="I29" s="60" t="s">
        <v>54</v>
      </c>
      <c r="J29" s="85">
        <v>1</v>
      </c>
      <c r="K29" s="44"/>
      <c r="L29"/>
      <c r="M29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</row>
    <row r="30" spans="2:29" x14ac:dyDescent="0.25">
      <c r="B30" s="60" t="s">
        <v>199</v>
      </c>
      <c r="C30" s="85">
        <v>200</v>
      </c>
      <c r="D30" s="44"/>
      <c r="E30" s="44"/>
      <c r="F30" s="44"/>
      <c r="G30" s="44"/>
      <c r="I30" s="60" t="s">
        <v>175</v>
      </c>
      <c r="J30" s="85">
        <v>1</v>
      </c>
      <c r="L30" s="44"/>
      <c r="M30" s="44"/>
      <c r="N30" s="44"/>
    </row>
    <row r="31" spans="2:29" x14ac:dyDescent="0.25">
      <c r="B31" s="87" t="s">
        <v>153</v>
      </c>
      <c r="C31" s="88">
        <v>2720</v>
      </c>
      <c r="D31" s="44"/>
      <c r="E31" s="44"/>
      <c r="F31" s="44"/>
      <c r="G31" s="44"/>
      <c r="I31" s="61" t="s">
        <v>153</v>
      </c>
      <c r="J31" s="86">
        <v>16</v>
      </c>
      <c r="L31" s="44"/>
      <c r="M31" s="44"/>
      <c r="N31" s="44"/>
    </row>
    <row r="32" spans="2:29" x14ac:dyDescent="0.25">
      <c r="B32"/>
      <c r="C32"/>
      <c r="D32" s="44"/>
      <c r="E32" s="44"/>
      <c r="F32" s="44"/>
      <c r="G32" s="44"/>
      <c r="I32"/>
      <c r="J32"/>
      <c r="L32" s="44"/>
      <c r="M32" s="44"/>
      <c r="N32" s="44"/>
    </row>
    <row r="33" spans="2:14" x14ac:dyDescent="0.25">
      <c r="B33"/>
      <c r="C33"/>
      <c r="D33" s="44"/>
      <c r="E33" s="44"/>
      <c r="F33" s="44"/>
      <c r="G33" s="44"/>
      <c r="I33"/>
      <c r="J33"/>
      <c r="L33" s="44"/>
      <c r="M33" s="44"/>
      <c r="N33" s="44"/>
    </row>
    <row r="34" spans="2:14" x14ac:dyDescent="0.25">
      <c r="B34"/>
      <c r="C34"/>
      <c r="D34" s="44"/>
      <c r="E34" s="44"/>
      <c r="F34" s="44"/>
      <c r="G34" s="44"/>
      <c r="I34"/>
      <c r="J34"/>
      <c r="L34" s="44"/>
      <c r="M34" s="44"/>
      <c r="N34" s="44"/>
    </row>
    <row r="35" spans="2:14" x14ac:dyDescent="0.25">
      <c r="B35"/>
      <c r="C35"/>
      <c r="D35" s="44"/>
      <c r="E35" s="44"/>
      <c r="F35" s="44"/>
      <c r="G35" s="44"/>
      <c r="I35"/>
      <c r="J35"/>
      <c r="L35" s="44"/>
      <c r="M35" s="44"/>
      <c r="N35" s="44"/>
    </row>
    <row r="36" spans="2:14" x14ac:dyDescent="0.25">
      <c r="B36"/>
      <c r="C36"/>
      <c r="D36" s="44"/>
      <c r="E36" s="44"/>
      <c r="F36" s="44"/>
      <c r="G36" s="44"/>
      <c r="I36"/>
      <c r="J36"/>
      <c r="L36" s="44"/>
      <c r="M36" s="44"/>
      <c r="N36" s="44"/>
    </row>
    <row r="37" spans="2:14" x14ac:dyDescent="0.25">
      <c r="B37"/>
      <c r="C37"/>
      <c r="D37" s="44"/>
      <c r="E37" s="44"/>
      <c r="F37" s="44"/>
      <c r="G37" s="44"/>
      <c r="I37"/>
      <c r="J37"/>
      <c r="L37" s="44"/>
      <c r="M37" s="44"/>
      <c r="N37" s="44"/>
    </row>
    <row r="38" spans="2:14" x14ac:dyDescent="0.25">
      <c r="B38" s="44"/>
      <c r="C38" s="44"/>
      <c r="D38" s="44"/>
      <c r="E38" s="44"/>
      <c r="F38" s="44"/>
      <c r="G38" s="44"/>
      <c r="I38" s="44"/>
      <c r="J38" s="44"/>
      <c r="L38" s="44"/>
      <c r="M38" s="44"/>
      <c r="N38" s="44"/>
    </row>
    <row r="39" spans="2:14" x14ac:dyDescent="0.25">
      <c r="B39" s="44"/>
      <c r="C39" s="44"/>
      <c r="D39" s="44"/>
      <c r="E39" s="44"/>
      <c r="F39" s="44"/>
      <c r="G39" s="44"/>
      <c r="I39" s="44"/>
      <c r="J39" s="44"/>
      <c r="L39" s="44"/>
      <c r="M39" s="44"/>
      <c r="N39" s="44"/>
    </row>
    <row r="40" spans="2:14" x14ac:dyDescent="0.25">
      <c r="B40" s="44"/>
      <c r="C40" s="44"/>
      <c r="D40" s="44"/>
      <c r="E40" s="44"/>
      <c r="F40" s="44"/>
      <c r="G40" s="44"/>
      <c r="I40" s="44"/>
      <c r="J40" s="44"/>
      <c r="L40" s="44"/>
      <c r="M40" s="44"/>
      <c r="N40" s="44"/>
    </row>
    <row r="41" spans="2:14" x14ac:dyDescent="0.25">
      <c r="B41" s="44"/>
      <c r="C41" s="44"/>
      <c r="D41" s="44"/>
      <c r="E41" s="44"/>
      <c r="F41" s="44"/>
      <c r="G41" s="44"/>
      <c r="I41" s="44"/>
      <c r="J41" s="44"/>
    </row>
    <row r="42" spans="2:14" x14ac:dyDescent="0.25">
      <c r="B42" s="44"/>
      <c r="C42" s="44"/>
      <c r="D42" s="44"/>
      <c r="E42" s="44"/>
      <c r="F42" s="44"/>
      <c r="G42" s="44"/>
      <c r="I42" s="44"/>
      <c r="J42" s="44"/>
    </row>
    <row r="43" spans="2:14" x14ac:dyDescent="0.25">
      <c r="B43" s="44"/>
      <c r="C43" s="44"/>
      <c r="D43" s="44"/>
      <c r="E43" s="44"/>
      <c r="F43" s="44"/>
      <c r="G43" s="44"/>
    </row>
    <row r="44" spans="2:14" x14ac:dyDescent="0.25">
      <c r="B44" s="44"/>
      <c r="C44" s="44"/>
      <c r="D44" s="44"/>
      <c r="E44" s="44"/>
      <c r="F44" s="44"/>
      <c r="G44" s="44"/>
    </row>
    <row r="45" spans="2:14" x14ac:dyDescent="0.25">
      <c r="B45" s="44"/>
      <c r="C45" s="44"/>
      <c r="D45" s="44"/>
      <c r="E45" s="44"/>
      <c r="F45" s="44"/>
      <c r="G45" s="44"/>
    </row>
    <row r="46" spans="2:14" x14ac:dyDescent="0.25">
      <c r="B46" s="44"/>
      <c r="C46" s="44"/>
      <c r="D46" s="44"/>
      <c r="E46" s="44"/>
      <c r="F46" s="44"/>
      <c r="G46" s="44"/>
    </row>
    <row r="47" spans="2:14" x14ac:dyDescent="0.25">
      <c r="B47" s="44"/>
      <c r="C47" s="44"/>
      <c r="D47" s="44"/>
      <c r="E47" s="44"/>
      <c r="F47" s="44"/>
      <c r="G47" s="44"/>
    </row>
    <row r="48" spans="2:14" x14ac:dyDescent="0.25">
      <c r="B48" s="44"/>
      <c r="C48" s="44"/>
      <c r="D48" s="44"/>
      <c r="E48" s="44"/>
      <c r="F48" s="44"/>
      <c r="G48" s="44"/>
    </row>
    <row r="49" spans="2:7" x14ac:dyDescent="0.25">
      <c r="B49" s="44"/>
      <c r="C49" s="44"/>
      <c r="D49" s="44"/>
      <c r="E49" s="44"/>
      <c r="F49" s="44"/>
      <c r="G49" s="44"/>
    </row>
    <row r="50" spans="2:7" x14ac:dyDescent="0.25">
      <c r="B50" s="44"/>
      <c r="C50" s="44"/>
      <c r="D50" s="44"/>
      <c r="E50" s="44"/>
      <c r="F50" s="44"/>
      <c r="G50" s="44"/>
    </row>
    <row r="51" spans="2:7" x14ac:dyDescent="0.25">
      <c r="B51" s="44"/>
      <c r="C51" s="44"/>
      <c r="D51" s="44"/>
      <c r="E51" s="44"/>
      <c r="F51" s="44"/>
      <c r="G51" s="44"/>
    </row>
    <row r="52" spans="2:7" x14ac:dyDescent="0.25">
      <c r="B52" s="44"/>
      <c r="C52" s="44"/>
      <c r="D52" s="44"/>
      <c r="E52" s="44"/>
      <c r="F52" s="44"/>
      <c r="G52" s="44"/>
    </row>
    <row r="53" spans="2:7" x14ac:dyDescent="0.25">
      <c r="B53" s="44"/>
      <c r="C53" s="44"/>
      <c r="D53" s="44"/>
      <c r="E53" s="44"/>
      <c r="F53" s="44"/>
      <c r="G53" s="44"/>
    </row>
    <row r="54" spans="2:7" x14ac:dyDescent="0.25">
      <c r="B54" s="44"/>
      <c r="C54" s="44"/>
      <c r="D54" s="44"/>
      <c r="E54" s="44"/>
      <c r="F54" s="44"/>
      <c r="G54" s="44"/>
    </row>
    <row r="55" spans="2:7" x14ac:dyDescent="0.25">
      <c r="B55" s="44"/>
      <c r="C55" s="44"/>
      <c r="D55" s="44"/>
      <c r="E55" s="44"/>
      <c r="F55" s="44"/>
      <c r="G55" s="44"/>
    </row>
    <row r="56" spans="2:7" x14ac:dyDescent="0.25">
      <c r="B56" s="44"/>
      <c r="C56" s="44"/>
      <c r="D56" s="44"/>
      <c r="E56" s="44"/>
      <c r="F56" s="44"/>
      <c r="G56" s="44"/>
    </row>
    <row r="57" spans="2:7" x14ac:dyDescent="0.25">
      <c r="B57" s="44"/>
      <c r="C57" s="44"/>
      <c r="D57" s="44"/>
      <c r="E57" s="44"/>
      <c r="F57" s="44"/>
      <c r="G57" s="44"/>
    </row>
    <row r="58" spans="2:7" x14ac:dyDescent="0.25">
      <c r="B58" s="44"/>
      <c r="C58" s="44"/>
      <c r="D58" s="44"/>
      <c r="E58" s="44"/>
      <c r="F58" s="44"/>
      <c r="G58" s="44"/>
    </row>
    <row r="59" spans="2:7" x14ac:dyDescent="0.25">
      <c r="B59" s="44"/>
      <c r="C59" s="44"/>
      <c r="D59" s="44"/>
      <c r="E59" s="44"/>
      <c r="F59" s="44"/>
      <c r="G59" s="44"/>
    </row>
    <row r="60" spans="2:7" x14ac:dyDescent="0.25">
      <c r="B60" s="44"/>
      <c r="C60" s="44"/>
      <c r="D60" s="44"/>
      <c r="E60" s="44"/>
      <c r="F60" s="44"/>
      <c r="G60" s="44"/>
    </row>
    <row r="61" spans="2:7" x14ac:dyDescent="0.25">
      <c r="B61" s="44"/>
      <c r="C61" s="44"/>
      <c r="D61" s="44"/>
      <c r="E61" s="44"/>
      <c r="F61" s="44"/>
      <c r="G61" s="44"/>
    </row>
    <row r="62" spans="2:7" x14ac:dyDescent="0.25">
      <c r="B62" s="44"/>
      <c r="C62" s="44"/>
      <c r="D62" s="44"/>
      <c r="E62" s="44"/>
      <c r="F62" s="44"/>
      <c r="G62" s="44"/>
    </row>
    <row r="63" spans="2:7" x14ac:dyDescent="0.25">
      <c r="B63" s="44"/>
      <c r="C63" s="44"/>
      <c r="D63" s="44"/>
      <c r="E63" s="44"/>
      <c r="F63" s="44"/>
      <c r="G63" s="44"/>
    </row>
    <row r="64" spans="2:7" x14ac:dyDescent="0.25">
      <c r="B64" s="44"/>
      <c r="C64" s="44"/>
      <c r="D64" s="44"/>
      <c r="E64" s="44"/>
      <c r="F64" s="44"/>
      <c r="G64" s="44"/>
    </row>
    <row r="65" spans="2:7" x14ac:dyDescent="0.25">
      <c r="B65" s="44"/>
      <c r="C65" s="44"/>
      <c r="D65" s="44"/>
      <c r="E65" s="44"/>
      <c r="F65" s="44"/>
      <c r="G65" s="44"/>
    </row>
    <row r="66" spans="2:7" x14ac:dyDescent="0.25">
      <c r="B66" s="44"/>
      <c r="C66" s="44"/>
      <c r="D66" s="44"/>
      <c r="E66" s="44"/>
      <c r="F66" s="44"/>
      <c r="G66" s="44"/>
    </row>
    <row r="67" spans="2:7" x14ac:dyDescent="0.25">
      <c r="B67" s="44"/>
      <c r="C67" s="44"/>
      <c r="D67" s="44"/>
      <c r="E67" s="44"/>
      <c r="F67" s="44"/>
      <c r="G67" s="44"/>
    </row>
    <row r="68" spans="2:7" x14ac:dyDescent="0.25">
      <c r="B68" s="44"/>
      <c r="C68" s="44"/>
      <c r="D68" s="44"/>
      <c r="E68" s="44"/>
      <c r="F68" s="44"/>
      <c r="G68" s="44"/>
    </row>
    <row r="69" spans="2:7" x14ac:dyDescent="0.25">
      <c r="B69" s="44"/>
      <c r="C69" s="44"/>
      <c r="D69" s="44"/>
      <c r="E69" s="44"/>
      <c r="F69" s="44"/>
      <c r="G69" s="44"/>
    </row>
    <row r="70" spans="2:7" x14ac:dyDescent="0.25">
      <c r="B70" s="44"/>
      <c r="C70" s="44"/>
      <c r="D70" s="44"/>
      <c r="E70" s="44"/>
      <c r="F70" s="44"/>
      <c r="G70" s="44"/>
    </row>
    <row r="71" spans="2:7" x14ac:dyDescent="0.25">
      <c r="B71" s="44"/>
      <c r="C71" s="44"/>
      <c r="D71" s="44"/>
      <c r="E71" s="44"/>
      <c r="F71" s="44"/>
      <c r="G71" s="44"/>
    </row>
    <row r="72" spans="2:7" x14ac:dyDescent="0.25">
      <c r="B72" s="44"/>
      <c r="C72" s="44"/>
      <c r="D72" s="44"/>
      <c r="E72" s="44"/>
      <c r="F72" s="44"/>
      <c r="G72" s="44"/>
    </row>
    <row r="73" spans="2:7" x14ac:dyDescent="0.25">
      <c r="B73" s="44"/>
      <c r="C73" s="44"/>
      <c r="D73" s="44"/>
      <c r="E73" s="44"/>
      <c r="F73" s="44"/>
      <c r="G73" s="44"/>
    </row>
    <row r="74" spans="2:7" x14ac:dyDescent="0.25">
      <c r="B74" s="44"/>
      <c r="C74" s="44"/>
      <c r="D74" s="44"/>
      <c r="E74" s="44"/>
      <c r="F74" s="44"/>
      <c r="G74" s="44"/>
    </row>
    <row r="75" spans="2:7" x14ac:dyDescent="0.25">
      <c r="B75" s="44"/>
      <c r="C75" s="44"/>
      <c r="D75" s="44"/>
      <c r="E75" s="44"/>
      <c r="F75" s="44"/>
      <c r="G75" s="44"/>
    </row>
    <row r="76" spans="2:7" x14ac:dyDescent="0.25">
      <c r="B76" s="44"/>
      <c r="C76" s="44"/>
      <c r="D76" s="44"/>
      <c r="E76" s="44"/>
      <c r="F76" s="44"/>
      <c r="G76" s="44"/>
    </row>
    <row r="77" spans="2:7" x14ac:dyDescent="0.25">
      <c r="B77" s="44"/>
      <c r="C77" s="44"/>
      <c r="D77" s="44"/>
      <c r="E77" s="44"/>
      <c r="F77" s="44"/>
      <c r="G77" s="44"/>
    </row>
    <row r="78" spans="2:7" x14ac:dyDescent="0.25">
      <c r="B78" s="44"/>
      <c r="C78" s="44"/>
      <c r="D78" s="44"/>
      <c r="E78" s="44"/>
      <c r="F78" s="44"/>
      <c r="G78" s="44"/>
    </row>
    <row r="79" spans="2:7" x14ac:dyDescent="0.25">
      <c r="B79" s="44"/>
      <c r="C79" s="44"/>
      <c r="D79" s="44"/>
      <c r="E79" s="44"/>
      <c r="F79" s="44"/>
      <c r="G79" s="44"/>
    </row>
    <row r="80" spans="2:7" x14ac:dyDescent="0.25">
      <c r="B80" s="44"/>
      <c r="C80" s="44"/>
      <c r="D80" s="44"/>
      <c r="E80" s="44"/>
      <c r="F80" s="44"/>
      <c r="G80" s="44"/>
    </row>
    <row r="81" spans="2:7" x14ac:dyDescent="0.25">
      <c r="B81" s="44"/>
      <c r="C81" s="44"/>
      <c r="D81" s="44"/>
      <c r="E81" s="44"/>
      <c r="F81" s="44"/>
      <c r="G81" s="44"/>
    </row>
    <row r="82" spans="2:7" x14ac:dyDescent="0.25">
      <c r="B82" s="44"/>
      <c r="C82" s="44"/>
      <c r="D82" s="44"/>
      <c r="E82" s="44"/>
      <c r="F82" s="44"/>
      <c r="G82" s="44"/>
    </row>
    <row r="83" spans="2:7" x14ac:dyDescent="0.25">
      <c r="B83" s="44"/>
      <c r="C83" s="44"/>
      <c r="D83" s="44"/>
      <c r="E83" s="44"/>
      <c r="F83" s="44"/>
      <c r="G83" s="44"/>
    </row>
    <row r="84" spans="2:7" x14ac:dyDescent="0.25">
      <c r="B84" s="44"/>
      <c r="C84" s="44"/>
      <c r="D84" s="44"/>
      <c r="E84" s="44"/>
      <c r="F84" s="44"/>
      <c r="G84" s="44"/>
    </row>
    <row r="85" spans="2:7" x14ac:dyDescent="0.25">
      <c r="B85" s="44"/>
      <c r="C85" s="44"/>
      <c r="D85" s="44"/>
      <c r="E85" s="44"/>
      <c r="F85" s="44"/>
      <c r="G85" s="44"/>
    </row>
    <row r="86" spans="2:7" x14ac:dyDescent="0.25">
      <c r="B86" s="44"/>
      <c r="C86" s="44"/>
      <c r="D86" s="44"/>
      <c r="E86" s="44"/>
      <c r="F86" s="44"/>
      <c r="G86" s="44"/>
    </row>
    <row r="87" spans="2:7" x14ac:dyDescent="0.25">
      <c r="B87" s="44"/>
      <c r="C87" s="44"/>
      <c r="D87" s="44"/>
      <c r="E87" s="44"/>
      <c r="F87" s="44"/>
      <c r="G87" s="44"/>
    </row>
    <row r="88" spans="2:7" x14ac:dyDescent="0.25">
      <c r="B88" s="44"/>
      <c r="C88" s="44"/>
      <c r="D88" s="44"/>
      <c r="E88" s="44"/>
      <c r="F88" s="44"/>
      <c r="G88" s="44"/>
    </row>
    <row r="89" spans="2:7" x14ac:dyDescent="0.25">
      <c r="B89" s="44"/>
      <c r="C89" s="44"/>
      <c r="D89" s="44"/>
      <c r="E89" s="44"/>
      <c r="F89" s="44"/>
      <c r="G89" s="44"/>
    </row>
    <row r="90" spans="2:7" x14ac:dyDescent="0.25">
      <c r="B90" s="44"/>
      <c r="C90" s="44"/>
      <c r="D90" s="44"/>
      <c r="E90" s="44"/>
      <c r="F90" s="44"/>
      <c r="G90" s="44"/>
    </row>
    <row r="91" spans="2:7" x14ac:dyDescent="0.25">
      <c r="B91" s="44"/>
      <c r="C91" s="44"/>
      <c r="D91" s="44"/>
      <c r="E91" s="44"/>
      <c r="F91" s="44"/>
      <c r="G91" s="44"/>
    </row>
    <row r="92" spans="2:7" x14ac:dyDescent="0.25">
      <c r="B92" s="44"/>
      <c r="C92" s="44"/>
      <c r="D92" s="44"/>
      <c r="E92" s="44"/>
      <c r="F92" s="44"/>
      <c r="G92" s="44"/>
    </row>
    <row r="93" spans="2:7" x14ac:dyDescent="0.25">
      <c r="B93" s="44"/>
      <c r="C93" s="44"/>
      <c r="D93" s="44"/>
      <c r="E93" s="44"/>
      <c r="F93" s="44"/>
      <c r="G93" s="44"/>
    </row>
    <row r="94" spans="2:7" x14ac:dyDescent="0.25">
      <c r="B94" s="44"/>
      <c r="C94" s="44"/>
      <c r="D94" s="44"/>
      <c r="E94" s="44"/>
      <c r="F94" s="44"/>
      <c r="G94" s="44"/>
    </row>
    <row r="95" spans="2:7" x14ac:dyDescent="0.25">
      <c r="B95" s="44"/>
      <c r="C95" s="44"/>
      <c r="D95" s="44"/>
      <c r="E95" s="44"/>
      <c r="F95" s="44"/>
      <c r="G95" s="44"/>
    </row>
    <row r="96" spans="2:7" x14ac:dyDescent="0.25">
      <c r="B96" s="44"/>
      <c r="C96" s="44"/>
      <c r="D96" s="44"/>
      <c r="E96" s="44"/>
      <c r="F96" s="44"/>
      <c r="G96" s="44"/>
    </row>
    <row r="97" spans="2:7" x14ac:dyDescent="0.25">
      <c r="B97" s="44"/>
      <c r="C97" s="44"/>
      <c r="D97" s="44"/>
      <c r="E97" s="44"/>
      <c r="F97" s="44"/>
      <c r="G97" s="44"/>
    </row>
    <row r="98" spans="2:7" x14ac:dyDescent="0.25">
      <c r="B98" s="44"/>
      <c r="C98" s="44"/>
      <c r="D98" s="44"/>
      <c r="E98" s="44"/>
      <c r="F98" s="44"/>
      <c r="G98" s="44"/>
    </row>
    <row r="99" spans="2:7" x14ac:dyDescent="0.25">
      <c r="B99" s="44"/>
      <c r="C99" s="44"/>
      <c r="D99" s="44"/>
      <c r="E99" s="44"/>
      <c r="F99" s="44"/>
      <c r="G99" s="44"/>
    </row>
    <row r="100" spans="2:7" x14ac:dyDescent="0.25">
      <c r="B100" s="44"/>
      <c r="C100" s="44"/>
      <c r="D100" s="44"/>
      <c r="E100" s="44"/>
      <c r="F100" s="44"/>
      <c r="G100" s="44"/>
    </row>
    <row r="101" spans="2:7" x14ac:dyDescent="0.25">
      <c r="B101" s="44"/>
      <c r="C101" s="44"/>
      <c r="D101" s="44"/>
      <c r="E101" s="44"/>
      <c r="F101" s="44"/>
      <c r="G101" s="44"/>
    </row>
    <row r="102" spans="2:7" x14ac:dyDescent="0.25">
      <c r="B102" s="44"/>
      <c r="C102" s="44"/>
      <c r="D102" s="44"/>
      <c r="E102" s="44"/>
      <c r="F102" s="44"/>
      <c r="G102" s="44"/>
    </row>
    <row r="103" spans="2:7" x14ac:dyDescent="0.25">
      <c r="B103" s="44"/>
      <c r="C103" s="44"/>
      <c r="D103" s="44"/>
      <c r="E103" s="44"/>
      <c r="F103" s="44"/>
      <c r="G103" s="44"/>
    </row>
    <row r="104" spans="2:7" x14ac:dyDescent="0.25">
      <c r="B104" s="44"/>
      <c r="C104" s="44"/>
      <c r="D104" s="44"/>
      <c r="E104" s="44"/>
      <c r="F104" s="44"/>
      <c r="G104" s="44"/>
    </row>
    <row r="105" spans="2:7" x14ac:dyDescent="0.25">
      <c r="B105" s="44"/>
      <c r="C105" s="44"/>
      <c r="D105" s="44"/>
      <c r="E105" s="44"/>
      <c r="F105" s="44"/>
      <c r="G105" s="44"/>
    </row>
    <row r="106" spans="2:7" x14ac:dyDescent="0.25">
      <c r="B106" s="44"/>
      <c r="C106" s="44"/>
      <c r="D106" s="44"/>
      <c r="E106" s="44"/>
      <c r="F106" s="44"/>
      <c r="G106" s="44"/>
    </row>
    <row r="107" spans="2:7" x14ac:dyDescent="0.25">
      <c r="B107" s="44"/>
      <c r="C107" s="44"/>
      <c r="D107" s="44"/>
      <c r="E107" s="44"/>
      <c r="F107" s="44"/>
      <c r="G107" s="44"/>
    </row>
    <row r="108" spans="2:7" x14ac:dyDescent="0.25">
      <c r="B108" s="44"/>
      <c r="C108" s="44"/>
      <c r="D108" s="44"/>
      <c r="E108" s="44"/>
      <c r="F108" s="44"/>
      <c r="G108" s="44"/>
    </row>
    <row r="109" spans="2:7" x14ac:dyDescent="0.25">
      <c r="B109" s="44"/>
      <c r="C109" s="44"/>
      <c r="D109" s="44"/>
      <c r="E109" s="44"/>
      <c r="F109" s="44"/>
      <c r="G109" s="44"/>
    </row>
    <row r="110" spans="2:7" x14ac:dyDescent="0.25">
      <c r="B110" s="44"/>
      <c r="C110" s="44"/>
      <c r="D110" s="44"/>
      <c r="E110" s="44"/>
      <c r="F110" s="44"/>
      <c r="G110" s="44"/>
    </row>
    <row r="111" spans="2:7" x14ac:dyDescent="0.25">
      <c r="B111" s="44"/>
      <c r="C111" s="44"/>
      <c r="D111" s="44"/>
      <c r="E111" s="44"/>
      <c r="F111" s="44"/>
      <c r="G111" s="44"/>
    </row>
    <row r="112" spans="2:7" x14ac:dyDescent="0.25">
      <c r="B112" s="44"/>
      <c r="C112" s="44"/>
      <c r="D112" s="44"/>
      <c r="E112" s="44"/>
      <c r="F112" s="44"/>
      <c r="G112" s="44"/>
    </row>
    <row r="113" spans="2:7" x14ac:dyDescent="0.25">
      <c r="B113" s="44"/>
      <c r="C113" s="44"/>
      <c r="D113" s="44"/>
      <c r="E113" s="44"/>
      <c r="F113" s="44"/>
      <c r="G113" s="44"/>
    </row>
    <row r="114" spans="2:7" x14ac:dyDescent="0.25">
      <c r="B114" s="44"/>
      <c r="C114" s="44"/>
      <c r="D114" s="44"/>
      <c r="E114" s="44"/>
      <c r="F114" s="44"/>
      <c r="G114" s="44"/>
    </row>
    <row r="115" spans="2:7" x14ac:dyDescent="0.25">
      <c r="B115" s="44"/>
      <c r="C115" s="44"/>
      <c r="D115" s="44"/>
      <c r="E115" s="44"/>
      <c r="F115" s="44"/>
      <c r="G115" s="44"/>
    </row>
    <row r="116" spans="2:7" x14ac:dyDescent="0.25">
      <c r="B116" s="44"/>
      <c r="C116" s="44"/>
      <c r="D116" s="44"/>
      <c r="E116" s="44"/>
      <c r="F116" s="44"/>
      <c r="G116" s="44"/>
    </row>
    <row r="117" spans="2:7" x14ac:dyDescent="0.25">
      <c r="B117" s="44"/>
      <c r="C117" s="44"/>
      <c r="D117" s="44"/>
      <c r="E117" s="44"/>
      <c r="F117" s="44"/>
      <c r="G117" s="44"/>
    </row>
    <row r="118" spans="2:7" x14ac:dyDescent="0.25">
      <c r="B118" s="44"/>
      <c r="C118" s="44"/>
      <c r="D118" s="44"/>
      <c r="E118" s="44"/>
      <c r="F118" s="44"/>
      <c r="G118" s="44"/>
    </row>
    <row r="119" spans="2:7" x14ac:dyDescent="0.25">
      <c r="B119" s="44"/>
      <c r="C119" s="44"/>
      <c r="D119" s="44"/>
      <c r="E119" s="44"/>
      <c r="F119" s="44"/>
      <c r="G119" s="44"/>
    </row>
    <row r="120" spans="2:7" x14ac:dyDescent="0.25">
      <c r="B120" s="44"/>
      <c r="C120" s="44"/>
      <c r="D120" s="44"/>
      <c r="E120" s="44"/>
      <c r="F120" s="44"/>
      <c r="G120" s="44"/>
    </row>
    <row r="121" spans="2:7" x14ac:dyDescent="0.25">
      <c r="B121" s="44"/>
      <c r="C121" s="44"/>
      <c r="D121" s="44"/>
      <c r="E121" s="44"/>
      <c r="F121" s="44"/>
      <c r="G121" s="44"/>
    </row>
    <row r="122" spans="2:7" x14ac:dyDescent="0.25">
      <c r="B122" s="44"/>
      <c r="C122" s="44"/>
      <c r="D122" s="44"/>
      <c r="E122" s="44"/>
      <c r="F122" s="44"/>
      <c r="G122" s="44"/>
    </row>
    <row r="123" spans="2:7" x14ac:dyDescent="0.25">
      <c r="B123" s="44"/>
      <c r="C123" s="44"/>
      <c r="D123" s="44"/>
      <c r="E123" s="44"/>
      <c r="F123" s="44"/>
      <c r="G123" s="44"/>
    </row>
    <row r="124" spans="2:7" x14ac:dyDescent="0.25">
      <c r="B124" s="44"/>
      <c r="C124" s="44"/>
      <c r="D124" s="44"/>
      <c r="E124" s="44"/>
      <c r="F124" s="44"/>
      <c r="G124" s="44"/>
    </row>
    <row r="125" spans="2:7" x14ac:dyDescent="0.25">
      <c r="B125" s="44"/>
      <c r="C125" s="44"/>
      <c r="D125" s="44"/>
      <c r="E125" s="44"/>
      <c r="F125" s="44"/>
      <c r="G125" s="44"/>
    </row>
    <row r="126" spans="2:7" x14ac:dyDescent="0.25">
      <c r="B126" s="44"/>
      <c r="C126" s="44"/>
      <c r="D126" s="44"/>
      <c r="E126" s="44"/>
      <c r="F126" s="44"/>
      <c r="G126" s="44"/>
    </row>
    <row r="127" spans="2:7" x14ac:dyDescent="0.25">
      <c r="B127" s="44"/>
      <c r="C127" s="44"/>
      <c r="D127" s="44"/>
      <c r="E127" s="44"/>
      <c r="F127" s="44"/>
      <c r="G127" s="44"/>
    </row>
    <row r="128" spans="2:7" x14ac:dyDescent="0.25">
      <c r="B128" s="44"/>
      <c r="C128" s="44"/>
      <c r="D128" s="44"/>
      <c r="E128" s="44"/>
      <c r="F128" s="44"/>
      <c r="G128" s="44"/>
    </row>
    <row r="129" spans="2:7" x14ac:dyDescent="0.25">
      <c r="B129" s="44"/>
      <c r="C129" s="44"/>
      <c r="D129" s="44"/>
      <c r="E129" s="44"/>
      <c r="F129" s="44"/>
      <c r="G129" s="44"/>
    </row>
    <row r="130" spans="2:7" x14ac:dyDescent="0.25">
      <c r="B130" s="44"/>
      <c r="C130" s="44"/>
      <c r="D130" s="44"/>
      <c r="E130" s="44"/>
      <c r="F130" s="44"/>
      <c r="G130" s="44"/>
    </row>
    <row r="131" spans="2:7" x14ac:dyDescent="0.25">
      <c r="B131" s="44"/>
      <c r="C131" s="44"/>
      <c r="D131" s="44"/>
      <c r="E131" s="44"/>
      <c r="F131" s="44"/>
      <c r="G131" s="44"/>
    </row>
    <row r="132" spans="2:7" x14ac:dyDescent="0.25">
      <c r="B132" s="44"/>
      <c r="C132" s="44"/>
      <c r="D132" s="44"/>
      <c r="E132" s="44"/>
      <c r="F132" s="44"/>
      <c r="G132" s="44"/>
    </row>
    <row r="133" spans="2:7" x14ac:dyDescent="0.25">
      <c r="B133" s="44"/>
      <c r="C133" s="44"/>
      <c r="D133" s="44"/>
      <c r="E133" s="44"/>
      <c r="F133" s="44"/>
      <c r="G133" s="44"/>
    </row>
    <row r="134" spans="2:7" x14ac:dyDescent="0.25">
      <c r="B134" s="44"/>
      <c r="C134" s="44"/>
      <c r="D134" s="44"/>
      <c r="E134" s="44"/>
      <c r="F134" s="44"/>
      <c r="G134" s="44"/>
    </row>
    <row r="135" spans="2:7" x14ac:dyDescent="0.25">
      <c r="B135" s="44"/>
      <c r="C135" s="44"/>
      <c r="D135" s="44"/>
      <c r="E135" s="44"/>
      <c r="F135" s="44"/>
      <c r="G135" s="44"/>
    </row>
    <row r="136" spans="2:7" x14ac:dyDescent="0.25">
      <c r="B136" s="44"/>
      <c r="C136" s="44"/>
      <c r="D136" s="44"/>
      <c r="E136" s="44"/>
      <c r="F136" s="44"/>
      <c r="G136" s="44"/>
    </row>
    <row r="137" spans="2:7" x14ac:dyDescent="0.25">
      <c r="B137" s="44"/>
      <c r="C137" s="44"/>
      <c r="D137" s="44"/>
      <c r="E137" s="44"/>
      <c r="F137" s="44"/>
      <c r="G137" s="44"/>
    </row>
    <row r="138" spans="2:7" x14ac:dyDescent="0.25">
      <c r="B138" s="44"/>
      <c r="C138" s="44"/>
      <c r="D138" s="44"/>
      <c r="E138" s="44"/>
      <c r="F138" s="44"/>
      <c r="G138" s="44"/>
    </row>
    <row r="139" spans="2:7" x14ac:dyDescent="0.25">
      <c r="B139" s="44"/>
      <c r="C139" s="44"/>
      <c r="D139" s="44"/>
      <c r="E139" s="44"/>
      <c r="F139" s="44"/>
      <c r="G139" s="44"/>
    </row>
    <row r="140" spans="2:7" x14ac:dyDescent="0.25">
      <c r="B140" s="44"/>
      <c r="C140" s="44"/>
      <c r="D140" s="44"/>
      <c r="E140" s="44"/>
      <c r="F140" s="44"/>
      <c r="G140" s="44"/>
    </row>
    <row r="141" spans="2:7" x14ac:dyDescent="0.25">
      <c r="B141" s="44"/>
      <c r="C141" s="44"/>
      <c r="D141" s="44"/>
      <c r="E141" s="44"/>
      <c r="F141" s="44"/>
      <c r="G141" s="44"/>
    </row>
    <row r="142" spans="2:7" x14ac:dyDescent="0.25">
      <c r="B142" s="44"/>
      <c r="C142" s="44"/>
      <c r="D142" s="44"/>
      <c r="E142" s="44"/>
      <c r="F142" s="44"/>
      <c r="G142" s="44"/>
    </row>
    <row r="143" spans="2:7" x14ac:dyDescent="0.25">
      <c r="B143" s="44"/>
      <c r="C143" s="44"/>
      <c r="D143" s="44"/>
      <c r="E143" s="44"/>
      <c r="F143" s="44"/>
      <c r="G143" s="44"/>
    </row>
    <row r="144" spans="2:7" x14ac:dyDescent="0.25">
      <c r="B144" s="44"/>
      <c r="C144" s="44"/>
      <c r="D144" s="44"/>
      <c r="E144" s="44"/>
      <c r="F144" s="44"/>
      <c r="G144" s="44"/>
    </row>
    <row r="145" spans="2:7" x14ac:dyDescent="0.25">
      <c r="B145" s="44"/>
      <c r="C145" s="44"/>
      <c r="D145" s="44"/>
      <c r="E145" s="44"/>
      <c r="F145" s="44"/>
      <c r="G145" s="44"/>
    </row>
    <row r="146" spans="2:7" x14ac:dyDescent="0.25">
      <c r="B146" s="44"/>
      <c r="C146" s="44"/>
      <c r="D146" s="44"/>
      <c r="E146" s="44"/>
      <c r="F146" s="44"/>
      <c r="G146" s="44"/>
    </row>
    <row r="147" spans="2:7" x14ac:dyDescent="0.25">
      <c r="B147" s="44"/>
      <c r="C147" s="44"/>
      <c r="D147" s="44"/>
      <c r="E147" s="44"/>
      <c r="F147" s="44"/>
      <c r="G147" s="44"/>
    </row>
    <row r="148" spans="2:7" x14ac:dyDescent="0.25">
      <c r="B148" s="44"/>
      <c r="C148" s="44"/>
      <c r="D148" s="44"/>
      <c r="E148" s="44"/>
      <c r="F148" s="44"/>
      <c r="G148" s="44"/>
    </row>
    <row r="149" spans="2:7" x14ac:dyDescent="0.25">
      <c r="B149" s="44"/>
      <c r="C149" s="44"/>
      <c r="D149" s="44"/>
      <c r="E149" s="44"/>
      <c r="F149" s="44"/>
      <c r="G149" s="44"/>
    </row>
    <row r="150" spans="2:7" x14ac:dyDescent="0.25">
      <c r="B150" s="44"/>
      <c r="C150" s="44"/>
      <c r="D150" s="44"/>
      <c r="E150" s="44"/>
      <c r="F150" s="44"/>
      <c r="G150" s="44"/>
    </row>
    <row r="151" spans="2:7" x14ac:dyDescent="0.25">
      <c r="B151" s="44"/>
      <c r="C151" s="44"/>
      <c r="D151" s="44"/>
      <c r="E151" s="44"/>
      <c r="F151" s="44"/>
      <c r="G151" s="44"/>
    </row>
    <row r="152" spans="2:7" x14ac:dyDescent="0.25">
      <c r="B152" s="44"/>
      <c r="C152" s="44"/>
      <c r="D152" s="44"/>
      <c r="E152" s="44"/>
      <c r="F152" s="44"/>
      <c r="G152" s="44"/>
    </row>
    <row r="153" spans="2:7" x14ac:dyDescent="0.25">
      <c r="B153" s="44"/>
      <c r="C153" s="44"/>
      <c r="D153" s="44"/>
      <c r="E153" s="44"/>
      <c r="F153" s="44"/>
      <c r="G153" s="44"/>
    </row>
    <row r="154" spans="2:7" x14ac:dyDescent="0.25">
      <c r="B154" s="44"/>
      <c r="C154" s="44"/>
      <c r="D154" s="44"/>
      <c r="E154" s="44"/>
      <c r="F154" s="44"/>
      <c r="G154" s="44"/>
    </row>
    <row r="155" spans="2:7" x14ac:dyDescent="0.25">
      <c r="B155" s="44"/>
      <c r="C155" s="44"/>
      <c r="D155" s="44"/>
      <c r="E155" s="44"/>
      <c r="F155" s="44"/>
      <c r="G155" s="44"/>
    </row>
    <row r="156" spans="2:7" x14ac:dyDescent="0.25">
      <c r="B156" s="44"/>
      <c r="C156" s="44"/>
      <c r="D156" s="44"/>
      <c r="E156" s="44"/>
      <c r="F156" s="44"/>
      <c r="G156" s="44"/>
    </row>
    <row r="157" spans="2:7" x14ac:dyDescent="0.25">
      <c r="B157" s="44"/>
      <c r="C157" s="44"/>
      <c r="D157" s="44"/>
      <c r="E157" s="44"/>
      <c r="F157" s="44"/>
      <c r="G157" s="44"/>
    </row>
    <row r="158" spans="2:7" x14ac:dyDescent="0.25">
      <c r="B158" s="44"/>
      <c r="C158" s="44"/>
      <c r="D158" s="44"/>
      <c r="E158" s="44"/>
      <c r="F158" s="44"/>
      <c r="G158" s="44"/>
    </row>
    <row r="159" spans="2:7" x14ac:dyDescent="0.25">
      <c r="B159" s="44"/>
      <c r="C159" s="44"/>
      <c r="D159" s="44"/>
      <c r="E159" s="44"/>
      <c r="F159" s="44"/>
      <c r="G159" s="44"/>
    </row>
    <row r="160" spans="2:7" x14ac:dyDescent="0.25">
      <c r="B160" s="44"/>
      <c r="C160" s="44"/>
      <c r="D160" s="44"/>
      <c r="E160" s="44"/>
      <c r="F160" s="44"/>
      <c r="G160" s="44"/>
    </row>
    <row r="161" spans="2:7" x14ac:dyDescent="0.25">
      <c r="B161" s="44"/>
      <c r="C161" s="44"/>
      <c r="D161" s="44"/>
      <c r="E161" s="44"/>
      <c r="F161" s="44"/>
      <c r="G161" s="44"/>
    </row>
    <row r="162" spans="2:7" x14ac:dyDescent="0.25">
      <c r="B162" s="44"/>
      <c r="C162" s="44"/>
      <c r="D162" s="44"/>
      <c r="E162" s="44"/>
      <c r="F162" s="44"/>
      <c r="G162" s="44"/>
    </row>
    <row r="163" spans="2:7" x14ac:dyDescent="0.25">
      <c r="B163" s="44"/>
      <c r="C163" s="44"/>
      <c r="D163" s="44"/>
      <c r="E163" s="44"/>
      <c r="F163" s="44"/>
      <c r="G163" s="44"/>
    </row>
    <row r="164" spans="2:7" x14ac:dyDescent="0.25">
      <c r="B164" s="44"/>
      <c r="C164" s="44"/>
      <c r="D164" s="44"/>
      <c r="E164" s="44"/>
      <c r="F164" s="44"/>
      <c r="G164" s="44"/>
    </row>
    <row r="165" spans="2:7" x14ac:dyDescent="0.25">
      <c r="B165" s="44"/>
      <c r="C165" s="44"/>
      <c r="D165" s="44"/>
      <c r="E165" s="44"/>
      <c r="F165" s="44"/>
      <c r="G165" s="44"/>
    </row>
    <row r="166" spans="2:7" x14ac:dyDescent="0.25">
      <c r="B166" s="44"/>
      <c r="C166" s="44"/>
      <c r="D166" s="44"/>
      <c r="E166" s="44"/>
      <c r="F166" s="44"/>
      <c r="G166" s="44"/>
    </row>
    <row r="167" spans="2:7" x14ac:dyDescent="0.25">
      <c r="B167" s="44"/>
      <c r="C167" s="44"/>
      <c r="D167" s="44"/>
      <c r="E167" s="44"/>
      <c r="F167" s="44"/>
      <c r="G167" s="44"/>
    </row>
    <row r="168" spans="2:7" x14ac:dyDescent="0.25">
      <c r="B168" s="44"/>
      <c r="C168" s="44"/>
      <c r="D168" s="44"/>
      <c r="E168" s="44"/>
      <c r="F168" s="44"/>
      <c r="G168" s="44"/>
    </row>
    <row r="169" spans="2:7" x14ac:dyDescent="0.25">
      <c r="B169" s="44"/>
      <c r="C169" s="44"/>
      <c r="D169" s="44"/>
      <c r="E169" s="44"/>
      <c r="F169" s="44"/>
      <c r="G169" s="44"/>
    </row>
    <row r="170" spans="2:7" x14ac:dyDescent="0.25">
      <c r="B170" s="44"/>
      <c r="C170" s="44"/>
      <c r="D170" s="44"/>
      <c r="E170" s="44"/>
      <c r="F170" s="44"/>
      <c r="G170" s="44"/>
    </row>
    <row r="171" spans="2:7" x14ac:dyDescent="0.25">
      <c r="B171" s="44"/>
      <c r="C171" s="44"/>
      <c r="D171" s="44"/>
      <c r="E171" s="44"/>
      <c r="F171" s="44"/>
      <c r="G171" s="44"/>
    </row>
    <row r="172" spans="2:7" x14ac:dyDescent="0.25">
      <c r="B172" s="44"/>
      <c r="C172" s="44"/>
      <c r="D172" s="44"/>
      <c r="E172" s="44"/>
      <c r="F172" s="44"/>
      <c r="G172" s="44"/>
    </row>
    <row r="173" spans="2:7" x14ac:dyDescent="0.25">
      <c r="B173" s="44"/>
      <c r="C173" s="44"/>
      <c r="D173" s="44"/>
      <c r="E173" s="44"/>
      <c r="F173" s="44"/>
      <c r="G173" s="44"/>
    </row>
    <row r="174" spans="2:7" x14ac:dyDescent="0.25">
      <c r="B174" s="44"/>
      <c r="C174" s="44"/>
      <c r="D174" s="44"/>
      <c r="E174" s="44"/>
      <c r="F174" s="44"/>
      <c r="G174" s="44"/>
    </row>
    <row r="175" spans="2:7" x14ac:dyDescent="0.25">
      <c r="B175" s="44"/>
      <c r="C175" s="44"/>
      <c r="D175" s="44"/>
      <c r="E175" s="44"/>
      <c r="F175" s="44"/>
      <c r="G175" s="44"/>
    </row>
    <row r="176" spans="2:7" x14ac:dyDescent="0.25">
      <c r="B176" s="44"/>
      <c r="C176" s="44"/>
      <c r="D176" s="44"/>
      <c r="E176" s="44"/>
      <c r="F176" s="44"/>
      <c r="G176" s="44"/>
    </row>
    <row r="177" spans="2:7" x14ac:dyDescent="0.25">
      <c r="B177" s="44"/>
      <c r="C177" s="44"/>
      <c r="D177" s="44"/>
      <c r="E177" s="44"/>
      <c r="F177" s="44"/>
      <c r="G177" s="44"/>
    </row>
    <row r="178" spans="2:7" x14ac:dyDescent="0.25">
      <c r="B178" s="44"/>
      <c r="C178" s="44"/>
      <c r="D178" s="44"/>
      <c r="E178" s="44"/>
      <c r="F178" s="44"/>
      <c r="G178" s="44"/>
    </row>
    <row r="179" spans="2:7" x14ac:dyDescent="0.25">
      <c r="B179" s="44"/>
      <c r="C179" s="44"/>
      <c r="D179" s="44"/>
      <c r="E179" s="44"/>
      <c r="F179" s="44"/>
      <c r="G179" s="44"/>
    </row>
    <row r="180" spans="2:7" x14ac:dyDescent="0.25">
      <c r="B180" s="44"/>
      <c r="C180" s="44"/>
      <c r="D180" s="44"/>
      <c r="E180" s="44"/>
      <c r="F180" s="44"/>
      <c r="G180" s="44"/>
    </row>
    <row r="181" spans="2:7" x14ac:dyDescent="0.25">
      <c r="B181" s="44"/>
      <c r="C181" s="44"/>
      <c r="D181" s="44"/>
      <c r="E181" s="44"/>
      <c r="F181" s="44"/>
      <c r="G181" s="44"/>
    </row>
    <row r="182" spans="2:7" x14ac:dyDescent="0.25">
      <c r="B182" s="44"/>
      <c r="C182" s="44"/>
      <c r="D182" s="44"/>
      <c r="E182" s="44"/>
      <c r="F182" s="44"/>
      <c r="G182" s="44"/>
    </row>
    <row r="183" spans="2:7" x14ac:dyDescent="0.25">
      <c r="B183" s="44"/>
      <c r="C183" s="44"/>
      <c r="D183" s="44"/>
      <c r="E183" s="44"/>
      <c r="F183" s="44"/>
      <c r="G183" s="44"/>
    </row>
    <row r="184" spans="2:7" x14ac:dyDescent="0.25">
      <c r="B184" s="44"/>
      <c r="C184" s="44"/>
      <c r="D184" s="44"/>
      <c r="E184" s="44"/>
      <c r="F184" s="44"/>
      <c r="G184" s="44"/>
    </row>
    <row r="185" spans="2:7" x14ac:dyDescent="0.25">
      <c r="B185" s="44"/>
      <c r="C185" s="44"/>
      <c r="D185" s="44"/>
      <c r="E185" s="44"/>
      <c r="F185" s="44"/>
      <c r="G185" s="44"/>
    </row>
    <row r="186" spans="2:7" x14ac:dyDescent="0.25">
      <c r="B186" s="44"/>
      <c r="C186" s="44"/>
      <c r="D186" s="44"/>
      <c r="E186" s="44"/>
      <c r="F186" s="44"/>
      <c r="G186" s="44"/>
    </row>
    <row r="187" spans="2:7" x14ac:dyDescent="0.25">
      <c r="B187" s="44"/>
      <c r="C187" s="44"/>
      <c r="D187" s="44"/>
      <c r="E187" s="44"/>
      <c r="F187" s="44"/>
      <c r="G187" s="44"/>
    </row>
    <row r="188" spans="2:7" x14ac:dyDescent="0.25">
      <c r="B188" s="44"/>
      <c r="C188" s="44"/>
      <c r="D188" s="44"/>
      <c r="E188" s="44"/>
      <c r="F188" s="44"/>
      <c r="G188" s="44"/>
    </row>
    <row r="189" spans="2:7" x14ac:dyDescent="0.25">
      <c r="B189" s="44"/>
      <c r="C189" s="44"/>
      <c r="D189" s="44"/>
      <c r="E189" s="44"/>
      <c r="F189" s="44"/>
      <c r="G189" s="44"/>
    </row>
    <row r="190" spans="2:7" x14ac:dyDescent="0.25">
      <c r="B190" s="44"/>
      <c r="C190" s="44"/>
      <c r="D190" s="44"/>
      <c r="E190" s="44"/>
      <c r="F190" s="44"/>
      <c r="G190" s="44"/>
    </row>
    <row r="191" spans="2:7" x14ac:dyDescent="0.25">
      <c r="B191" s="44"/>
      <c r="C191" s="44"/>
      <c r="D191" s="44"/>
      <c r="E191" s="44"/>
      <c r="F191" s="44"/>
      <c r="G191" s="44"/>
    </row>
    <row r="192" spans="2:7" x14ac:dyDescent="0.25">
      <c r="B192" s="44"/>
      <c r="C192" s="44"/>
      <c r="D192" s="44"/>
      <c r="E192" s="44"/>
      <c r="F192" s="44"/>
      <c r="G192" s="44"/>
    </row>
    <row r="193" spans="2:7" x14ac:dyDescent="0.25">
      <c r="B193" s="44"/>
      <c r="C193" s="44"/>
      <c r="D193" s="44"/>
      <c r="E193" s="44"/>
      <c r="F193" s="44"/>
      <c r="G193" s="44"/>
    </row>
    <row r="194" spans="2:7" x14ac:dyDescent="0.25">
      <c r="B194" s="44"/>
      <c r="C194" s="44"/>
      <c r="D194" s="44"/>
      <c r="E194" s="44"/>
      <c r="F194" s="44"/>
      <c r="G194" s="44"/>
    </row>
    <row r="195" spans="2:7" x14ac:dyDescent="0.25">
      <c r="B195" s="44"/>
      <c r="C195" s="44"/>
      <c r="D195" s="44"/>
      <c r="E195" s="44"/>
      <c r="F195" s="44"/>
      <c r="G195" s="44"/>
    </row>
    <row r="196" spans="2:7" x14ac:dyDescent="0.25">
      <c r="B196" s="44"/>
      <c r="C196" s="44"/>
      <c r="D196" s="44"/>
      <c r="E196" s="44"/>
      <c r="F196" s="44"/>
      <c r="G196" s="44"/>
    </row>
    <row r="197" spans="2:7" x14ac:dyDescent="0.25">
      <c r="B197" s="44"/>
      <c r="C197" s="44"/>
      <c r="D197" s="44"/>
      <c r="E197" s="44"/>
      <c r="F197" s="44"/>
      <c r="G197" s="44"/>
    </row>
    <row r="198" spans="2:7" x14ac:dyDescent="0.25">
      <c r="B198" s="44"/>
      <c r="C198" s="44"/>
      <c r="D198" s="44"/>
      <c r="E198" s="44"/>
      <c r="F198" s="44"/>
      <c r="G198" s="44"/>
    </row>
    <row r="199" spans="2:7" x14ac:dyDescent="0.25">
      <c r="B199" s="44"/>
      <c r="C199" s="44"/>
      <c r="D199" s="44"/>
      <c r="E199" s="44"/>
      <c r="F199" s="44"/>
      <c r="G199" s="44"/>
    </row>
    <row r="200" spans="2:7" x14ac:dyDescent="0.25">
      <c r="B200" s="44"/>
      <c r="C200" s="44"/>
      <c r="D200" s="44"/>
      <c r="E200" s="44"/>
      <c r="F200" s="44"/>
      <c r="G200" s="44"/>
    </row>
    <row r="201" spans="2:7" x14ac:dyDescent="0.25">
      <c r="B201" s="44"/>
      <c r="C201" s="44"/>
      <c r="D201" s="44"/>
      <c r="E201" s="44"/>
      <c r="F201" s="44"/>
      <c r="G201" s="44"/>
    </row>
    <row r="202" spans="2:7" x14ac:dyDescent="0.25">
      <c r="B202" s="44"/>
      <c r="C202" s="44"/>
      <c r="D202" s="44"/>
      <c r="E202" s="44"/>
      <c r="F202" s="44"/>
      <c r="G202" s="44"/>
    </row>
    <row r="203" spans="2:7" x14ac:dyDescent="0.25">
      <c r="B203" s="44"/>
      <c r="C203" s="44"/>
      <c r="D203" s="44"/>
      <c r="E203" s="44"/>
      <c r="F203" s="44"/>
      <c r="G203" s="44"/>
    </row>
    <row r="204" spans="2:7" x14ac:dyDescent="0.25">
      <c r="B204" s="44"/>
      <c r="C204" s="44"/>
      <c r="D204" s="44"/>
      <c r="E204" s="44"/>
      <c r="F204" s="44"/>
      <c r="G204" s="44"/>
    </row>
    <row r="205" spans="2:7" x14ac:dyDescent="0.25">
      <c r="B205" s="44"/>
      <c r="C205" s="44"/>
      <c r="D205" s="44"/>
      <c r="E205" s="44"/>
      <c r="F205" s="44"/>
      <c r="G205" s="44"/>
    </row>
    <row r="206" spans="2:7" x14ac:dyDescent="0.25">
      <c r="B206" s="44"/>
      <c r="C206" s="44"/>
      <c r="D206" s="44"/>
      <c r="E206" s="44"/>
      <c r="F206" s="44"/>
      <c r="G206" s="44"/>
    </row>
    <row r="207" spans="2:7" x14ac:dyDescent="0.25">
      <c r="B207" s="44"/>
      <c r="C207" s="44"/>
      <c r="D207" s="44"/>
      <c r="E207" s="44"/>
      <c r="F207" s="44"/>
      <c r="G207" s="44"/>
    </row>
    <row r="208" spans="2:7" x14ac:dyDescent="0.25">
      <c r="B208" s="44"/>
      <c r="C208" s="44"/>
      <c r="D208" s="44"/>
      <c r="E208" s="44"/>
      <c r="F208" s="44"/>
      <c r="G208" s="44"/>
    </row>
    <row r="209" spans="2:7" x14ac:dyDescent="0.25">
      <c r="B209" s="44"/>
      <c r="C209" s="44"/>
      <c r="D209" s="44"/>
      <c r="E209" s="44"/>
      <c r="F209" s="44"/>
      <c r="G209" s="44"/>
    </row>
    <row r="210" spans="2:7" x14ac:dyDescent="0.25">
      <c r="B210" s="44"/>
      <c r="C210" s="44"/>
      <c r="D210" s="44"/>
      <c r="E210" s="44"/>
      <c r="F210" s="44"/>
      <c r="G210" s="44"/>
    </row>
    <row r="211" spans="2:7" x14ac:dyDescent="0.25">
      <c r="B211" s="44"/>
      <c r="C211" s="44"/>
      <c r="D211" s="44"/>
      <c r="E211" s="44"/>
      <c r="F211" s="44"/>
      <c r="G211" s="44"/>
    </row>
    <row r="212" spans="2:7" x14ac:dyDescent="0.25">
      <c r="B212" s="44"/>
      <c r="C212" s="44"/>
      <c r="D212" s="44"/>
      <c r="E212" s="44"/>
      <c r="F212" s="44"/>
      <c r="G212" s="44"/>
    </row>
    <row r="213" spans="2:7" x14ac:dyDescent="0.25">
      <c r="B213" s="44"/>
      <c r="C213" s="44"/>
      <c r="D213" s="44"/>
      <c r="E213" s="44"/>
      <c r="F213" s="44"/>
      <c r="G213" s="44"/>
    </row>
    <row r="214" spans="2:7" x14ac:dyDescent="0.25">
      <c r="B214" s="44"/>
      <c r="C214" s="44"/>
      <c r="D214" s="44"/>
      <c r="E214" s="44"/>
      <c r="F214" s="44"/>
      <c r="G214" s="44"/>
    </row>
    <row r="215" spans="2:7" x14ac:dyDescent="0.25">
      <c r="B215" s="44"/>
      <c r="C215" s="44"/>
      <c r="D215" s="44"/>
      <c r="E215" s="44"/>
      <c r="F215" s="44"/>
      <c r="G215" s="44"/>
    </row>
    <row r="216" spans="2:7" x14ac:dyDescent="0.25">
      <c r="B216" s="44"/>
      <c r="C216" s="44"/>
      <c r="D216" s="44"/>
      <c r="E216" s="44"/>
      <c r="F216" s="44"/>
      <c r="G216" s="44"/>
    </row>
    <row r="217" spans="2:7" x14ac:dyDescent="0.25">
      <c r="B217" s="44"/>
      <c r="C217" s="44"/>
      <c r="D217" s="44"/>
      <c r="E217" s="44"/>
      <c r="F217" s="44"/>
      <c r="G217" s="44"/>
    </row>
    <row r="218" spans="2:7" x14ac:dyDescent="0.25">
      <c r="B218" s="44"/>
      <c r="C218" s="44"/>
      <c r="D218" s="44"/>
      <c r="E218" s="44"/>
      <c r="F218" s="44"/>
      <c r="G218" s="44"/>
    </row>
    <row r="219" spans="2:7" x14ac:dyDescent="0.25">
      <c r="B219" s="44"/>
      <c r="C219" s="44"/>
      <c r="D219" s="44"/>
      <c r="E219" s="44"/>
      <c r="F219" s="44"/>
      <c r="G219" s="44"/>
    </row>
    <row r="220" spans="2:7" x14ac:dyDescent="0.25">
      <c r="B220" s="44"/>
      <c r="C220" s="44"/>
      <c r="D220" s="44"/>
      <c r="E220" s="44"/>
      <c r="F220" s="44"/>
      <c r="G220" s="44"/>
    </row>
    <row r="221" spans="2:7" x14ac:dyDescent="0.25">
      <c r="B221" s="44"/>
      <c r="C221" s="44"/>
      <c r="D221" s="44"/>
      <c r="E221" s="44"/>
      <c r="F221" s="44"/>
      <c r="G221" s="44"/>
    </row>
    <row r="222" spans="2:7" x14ac:dyDescent="0.25">
      <c r="B222" s="44"/>
      <c r="C222" s="44"/>
      <c r="D222" s="44"/>
      <c r="E222" s="44"/>
      <c r="F222" s="44"/>
      <c r="G222" s="44"/>
    </row>
    <row r="223" spans="2:7" x14ac:dyDescent="0.25">
      <c r="B223" s="44"/>
      <c r="C223" s="44"/>
      <c r="D223" s="44"/>
      <c r="E223" s="44"/>
      <c r="F223" s="44"/>
      <c r="G223" s="44"/>
    </row>
    <row r="224" spans="2:7" x14ac:dyDescent="0.25">
      <c r="B224" s="44"/>
      <c r="C224" s="44"/>
      <c r="D224" s="44"/>
      <c r="E224" s="44"/>
      <c r="F224" s="44"/>
      <c r="G224" s="44"/>
    </row>
    <row r="225" spans="2:7" x14ac:dyDescent="0.25">
      <c r="B225" s="44"/>
      <c r="C225" s="44"/>
      <c r="D225" s="44"/>
      <c r="E225" s="44"/>
      <c r="F225" s="44"/>
      <c r="G225" s="44"/>
    </row>
    <row r="226" spans="2:7" x14ac:dyDescent="0.25">
      <c r="B226" s="44"/>
      <c r="C226" s="44"/>
      <c r="D226" s="44"/>
      <c r="E226" s="44"/>
      <c r="F226" s="44"/>
      <c r="G226" s="44"/>
    </row>
    <row r="227" spans="2:7" x14ac:dyDescent="0.25">
      <c r="B227" s="44"/>
      <c r="C227" s="44"/>
      <c r="D227" s="44"/>
      <c r="E227" s="44"/>
      <c r="F227" s="44"/>
      <c r="G227" s="44"/>
    </row>
    <row r="228" spans="2:7" x14ac:dyDescent="0.25">
      <c r="B228" s="44"/>
      <c r="C228" s="44"/>
      <c r="D228" s="44"/>
      <c r="E228" s="44"/>
      <c r="F228" s="44"/>
      <c r="G228" s="44"/>
    </row>
    <row r="229" spans="2:7" x14ac:dyDescent="0.25">
      <c r="B229" s="44"/>
      <c r="C229" s="44"/>
      <c r="D229" s="44"/>
      <c r="E229" s="44"/>
      <c r="F229" s="44"/>
      <c r="G229" s="44"/>
    </row>
    <row r="230" spans="2:7" x14ac:dyDescent="0.25">
      <c r="B230" s="44"/>
      <c r="C230" s="44"/>
      <c r="D230" s="44"/>
      <c r="E230" s="44"/>
      <c r="F230" s="44"/>
      <c r="G230" s="44"/>
    </row>
    <row r="231" spans="2:7" x14ac:dyDescent="0.25">
      <c r="B231" s="44"/>
      <c r="C231" s="44"/>
      <c r="D231" s="44"/>
      <c r="E231" s="44"/>
      <c r="F231" s="44"/>
      <c r="G231" s="44"/>
    </row>
    <row r="232" spans="2:7" x14ac:dyDescent="0.25">
      <c r="B232" s="44"/>
      <c r="C232" s="44"/>
      <c r="D232" s="44"/>
      <c r="E232" s="44"/>
      <c r="F232" s="44"/>
      <c r="G232" s="44"/>
    </row>
    <row r="233" spans="2:7" x14ac:dyDescent="0.25">
      <c r="B233" s="44"/>
      <c r="C233" s="44"/>
      <c r="D233" s="44"/>
      <c r="E233" s="44"/>
      <c r="F233" s="44"/>
      <c r="G233" s="44"/>
    </row>
    <row r="234" spans="2:7" x14ac:dyDescent="0.25">
      <c r="B234" s="44"/>
      <c r="C234" s="44"/>
      <c r="D234" s="44"/>
      <c r="E234" s="44"/>
      <c r="F234" s="44"/>
      <c r="G234" s="44"/>
    </row>
    <row r="235" spans="2:7" x14ac:dyDescent="0.25">
      <c r="B235" s="44"/>
      <c r="C235" s="44"/>
      <c r="D235" s="44"/>
      <c r="E235" s="44"/>
      <c r="F235" s="44"/>
      <c r="G235" s="44"/>
    </row>
    <row r="236" spans="2:7" x14ac:dyDescent="0.25">
      <c r="B236" s="44"/>
      <c r="C236" s="44"/>
      <c r="D236" s="44"/>
      <c r="E236" s="44"/>
      <c r="F236" s="44"/>
      <c r="G236" s="44"/>
    </row>
    <row r="237" spans="2:7" x14ac:dyDescent="0.25">
      <c r="B237" s="44"/>
      <c r="C237" s="44"/>
      <c r="D237" s="44"/>
      <c r="E237" s="44"/>
      <c r="F237" s="44"/>
      <c r="G237" s="44"/>
    </row>
    <row r="238" spans="2:7" x14ac:dyDescent="0.25">
      <c r="B238" s="44"/>
      <c r="C238" s="44"/>
      <c r="D238" s="44"/>
      <c r="E238" s="44"/>
      <c r="F238" s="44"/>
      <c r="G238" s="44"/>
    </row>
    <row r="239" spans="2:7" x14ac:dyDescent="0.25">
      <c r="B239" s="44"/>
      <c r="C239" s="44"/>
      <c r="D239" s="44"/>
      <c r="E239" s="44"/>
      <c r="F239" s="44"/>
      <c r="G239" s="44"/>
    </row>
    <row r="240" spans="2:7" x14ac:dyDescent="0.25">
      <c r="B240" s="44"/>
      <c r="C240" s="44"/>
      <c r="D240" s="44"/>
      <c r="E240" s="44"/>
      <c r="F240" s="44"/>
      <c r="G240" s="44"/>
    </row>
    <row r="241" spans="2:7" x14ac:dyDescent="0.25">
      <c r="B241" s="44"/>
      <c r="C241" s="44"/>
      <c r="D241" s="44"/>
      <c r="E241" s="44"/>
      <c r="F241" s="44"/>
      <c r="G241" s="44"/>
    </row>
    <row r="242" spans="2:7" x14ac:dyDescent="0.25">
      <c r="B242" s="44"/>
      <c r="C242" s="44"/>
      <c r="D242" s="44"/>
      <c r="E242" s="44"/>
      <c r="F242" s="44"/>
      <c r="G242" s="44"/>
    </row>
    <row r="243" spans="2:7" x14ac:dyDescent="0.25">
      <c r="B243" s="44"/>
      <c r="C243" s="44"/>
      <c r="D243" s="44"/>
      <c r="E243" s="44"/>
      <c r="F243" s="44"/>
      <c r="G243" s="44"/>
    </row>
    <row r="244" spans="2:7" x14ac:dyDescent="0.25">
      <c r="B244" s="44"/>
      <c r="C244" s="44"/>
      <c r="D244" s="44"/>
      <c r="E244" s="44"/>
      <c r="F244" s="44"/>
      <c r="G244" s="44"/>
    </row>
    <row r="245" spans="2:7" x14ac:dyDescent="0.25">
      <c r="B245" s="44"/>
      <c r="C245" s="44"/>
      <c r="D245" s="44"/>
      <c r="E245" s="44"/>
      <c r="F245" s="44"/>
      <c r="G245" s="44"/>
    </row>
    <row r="246" spans="2:7" x14ac:dyDescent="0.25">
      <c r="B246" s="44"/>
      <c r="C246" s="44"/>
      <c r="D246" s="44"/>
      <c r="E246" s="44"/>
      <c r="F246" s="44"/>
      <c r="G246" s="44"/>
    </row>
    <row r="247" spans="2:7" x14ac:dyDescent="0.25">
      <c r="B247" s="44"/>
      <c r="C247" s="44"/>
      <c r="D247" s="44"/>
      <c r="E247" s="44"/>
      <c r="F247" s="44"/>
      <c r="G247" s="44"/>
    </row>
    <row r="248" spans="2:7" x14ac:dyDescent="0.25">
      <c r="B248" s="44"/>
      <c r="C248" s="44"/>
      <c r="D248" s="44"/>
      <c r="E248" s="44"/>
      <c r="F248" s="44"/>
      <c r="G248" s="44"/>
    </row>
    <row r="249" spans="2:7" x14ac:dyDescent="0.25">
      <c r="B249" s="44"/>
      <c r="C249" s="44"/>
      <c r="D249" s="44"/>
      <c r="E249" s="44"/>
      <c r="F249" s="44"/>
      <c r="G249" s="44"/>
    </row>
    <row r="250" spans="2:7" x14ac:dyDescent="0.25">
      <c r="B250" s="44"/>
      <c r="C250" s="44"/>
      <c r="D250" s="44"/>
      <c r="E250" s="44"/>
      <c r="F250" s="44"/>
      <c r="G250" s="44"/>
    </row>
    <row r="251" spans="2:7" x14ac:dyDescent="0.25">
      <c r="B251" s="44"/>
      <c r="C251" s="44"/>
      <c r="D251" s="44"/>
      <c r="E251" s="44"/>
      <c r="F251" s="44"/>
      <c r="G251" s="44"/>
    </row>
    <row r="252" spans="2:7" x14ac:dyDescent="0.25">
      <c r="B252" s="44"/>
      <c r="C252" s="44"/>
      <c r="D252" s="44"/>
      <c r="E252" s="44"/>
      <c r="F252" s="44"/>
      <c r="G252" s="44"/>
    </row>
    <row r="253" spans="2:7" x14ac:dyDescent="0.25">
      <c r="B253" s="44"/>
      <c r="C253" s="44"/>
      <c r="D253" s="44"/>
      <c r="E253" s="44"/>
      <c r="F253" s="44"/>
      <c r="G253" s="44"/>
    </row>
    <row r="254" spans="2:7" x14ac:dyDescent="0.25">
      <c r="B254" s="44"/>
      <c r="C254" s="44"/>
      <c r="D254" s="44"/>
      <c r="E254" s="44"/>
      <c r="F254" s="44"/>
      <c r="G254" s="44"/>
    </row>
    <row r="255" spans="2:7" x14ac:dyDescent="0.25">
      <c r="B255" s="44"/>
      <c r="C255" s="44"/>
      <c r="D255" s="44"/>
      <c r="E255" s="44"/>
      <c r="F255" s="44"/>
      <c r="G255" s="44"/>
    </row>
    <row r="256" spans="2:7" x14ac:dyDescent="0.25">
      <c r="B256" s="44"/>
      <c r="C256" s="44"/>
      <c r="D256" s="44"/>
      <c r="E256" s="44"/>
      <c r="F256" s="44"/>
      <c r="G256" s="44"/>
    </row>
    <row r="257" spans="2:7" x14ac:dyDescent="0.25">
      <c r="B257" s="44"/>
      <c r="C257" s="44"/>
      <c r="D257" s="44"/>
      <c r="E257" s="44"/>
      <c r="F257" s="44"/>
      <c r="G257" s="44"/>
    </row>
    <row r="258" spans="2:7" x14ac:dyDescent="0.25">
      <c r="B258" s="44"/>
      <c r="C258" s="44"/>
      <c r="D258" s="44"/>
      <c r="E258" s="44"/>
      <c r="F258" s="44"/>
      <c r="G258" s="44"/>
    </row>
    <row r="259" spans="2:7" x14ac:dyDescent="0.25">
      <c r="B259" s="44"/>
      <c r="C259" s="44"/>
      <c r="D259" s="44"/>
      <c r="E259" s="44"/>
      <c r="F259" s="44"/>
      <c r="G259" s="44"/>
    </row>
    <row r="260" spans="2:7" x14ac:dyDescent="0.25">
      <c r="B260" s="44"/>
      <c r="C260" s="44"/>
      <c r="D260" s="44"/>
      <c r="E260" s="44"/>
      <c r="F260" s="44"/>
      <c r="G260" s="44"/>
    </row>
    <row r="261" spans="2:7" x14ac:dyDescent="0.25">
      <c r="B261" s="44"/>
      <c r="C261" s="44"/>
      <c r="D261" s="44"/>
      <c r="E261" s="44"/>
      <c r="F261" s="44"/>
      <c r="G261" s="44"/>
    </row>
    <row r="262" spans="2:7" x14ac:dyDescent="0.25">
      <c r="B262" s="44"/>
      <c r="C262" s="44"/>
      <c r="D262" s="44"/>
      <c r="E262" s="44"/>
      <c r="F262" s="44"/>
      <c r="G262" s="44"/>
    </row>
    <row r="263" spans="2:7" x14ac:dyDescent="0.25">
      <c r="B263" s="44"/>
      <c r="C263" s="44"/>
      <c r="D263" s="44"/>
      <c r="E263" s="44"/>
      <c r="F263" s="44"/>
      <c r="G263" s="44"/>
    </row>
    <row r="264" spans="2:7" x14ac:dyDescent="0.25">
      <c r="B264" s="44"/>
      <c r="C264" s="44"/>
      <c r="D264" s="44"/>
      <c r="E264" s="44"/>
      <c r="F264" s="44"/>
      <c r="G264" s="44"/>
    </row>
    <row r="265" spans="2:7" x14ac:dyDescent="0.25">
      <c r="B265" s="44"/>
      <c r="C265" s="44"/>
      <c r="D265" s="44"/>
      <c r="E265" s="44"/>
      <c r="F265" s="44"/>
      <c r="G265" s="44"/>
    </row>
    <row r="266" spans="2:7" x14ac:dyDescent="0.25">
      <c r="B266" s="44"/>
      <c r="C266" s="44"/>
      <c r="D266" s="44"/>
      <c r="E266" s="44"/>
      <c r="F266" s="44"/>
      <c r="G266" s="44"/>
    </row>
    <row r="267" spans="2:7" x14ac:dyDescent="0.25">
      <c r="B267" s="44"/>
      <c r="C267" s="44"/>
      <c r="D267" s="44"/>
      <c r="E267" s="44"/>
      <c r="F267" s="44"/>
      <c r="G267" s="44"/>
    </row>
    <row r="268" spans="2:7" x14ac:dyDescent="0.25">
      <c r="B268" s="44"/>
      <c r="C268" s="44"/>
      <c r="D268" s="44"/>
      <c r="E268" s="44"/>
      <c r="F268" s="44"/>
      <c r="G268" s="44"/>
    </row>
    <row r="269" spans="2:7" x14ac:dyDescent="0.25">
      <c r="B269" s="44"/>
      <c r="C269" s="44"/>
    </row>
    <row r="270" spans="2:7" x14ac:dyDescent="0.25">
      <c r="B270" s="44"/>
      <c r="C270" s="44"/>
    </row>
    <row r="271" spans="2:7" x14ac:dyDescent="0.25">
      <c r="B271" s="44"/>
      <c r="C271" s="44"/>
    </row>
    <row r="272" spans="2:7" x14ac:dyDescent="0.25">
      <c r="B272" s="44"/>
      <c r="C272" s="44"/>
    </row>
    <row r="273" spans="2:3" x14ac:dyDescent="0.25">
      <c r="B273" s="44"/>
      <c r="C273" s="44"/>
    </row>
    <row r="274" spans="2:3" x14ac:dyDescent="0.25">
      <c r="B274" s="44"/>
      <c r="C274" s="44"/>
    </row>
    <row r="275" spans="2:3" x14ac:dyDescent="0.25">
      <c r="B275" s="44"/>
      <c r="C275" s="44"/>
    </row>
    <row r="276" spans="2:3" x14ac:dyDescent="0.25">
      <c r="B276" s="44"/>
      <c r="C276" s="44"/>
    </row>
    <row r="277" spans="2:3" x14ac:dyDescent="0.25">
      <c r="B277" s="44"/>
      <c r="C277" s="44"/>
    </row>
    <row r="278" spans="2:3" x14ac:dyDescent="0.25">
      <c r="B278" s="44"/>
      <c r="C278" s="44"/>
    </row>
    <row r="279" spans="2:3" x14ac:dyDescent="0.25">
      <c r="B279" s="44"/>
      <c r="C279" s="44"/>
    </row>
    <row r="280" spans="2:3" x14ac:dyDescent="0.25">
      <c r="B280" s="44"/>
      <c r="C280" s="44"/>
    </row>
    <row r="281" spans="2:3" x14ac:dyDescent="0.25">
      <c r="B281" s="44"/>
      <c r="C281" s="44"/>
    </row>
    <row r="282" spans="2:3" x14ac:dyDescent="0.25">
      <c r="B282" s="44"/>
      <c r="C282" s="44"/>
    </row>
    <row r="283" spans="2:3" x14ac:dyDescent="0.25">
      <c r="B283" s="44"/>
      <c r="C283" s="44"/>
    </row>
  </sheetData>
  <pageMargins left="0.7" right="0.7" top="0.75" bottom="0.75" header="0.3" footer="0.3"/>
  <drawing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CF4C7-F700-4835-93F5-CD2C0A099199}">
  <sheetPr codeName="Foglio8">
    <tabColor theme="4"/>
  </sheetPr>
  <dimension ref="A1"/>
  <sheetViews>
    <sheetView showGridLines="0" showRowColHeaders="0" zoomScale="50" zoomScaleNormal="50" workbookViewId="0">
      <selection activeCell="D111" sqref="D111"/>
    </sheetView>
  </sheetViews>
  <sheetFormatPr defaultRowHeight="15" x14ac:dyDescent="0.25"/>
  <sheetData>
    <row r="1" ht="83.25" customHeight="1" x14ac:dyDescent="0.25"/>
  </sheetData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BEB32-6D55-41E7-BC96-2E27EADB03D4}">
  <sheetPr codeName="Foglio2">
    <tabColor rgb="FF92D050"/>
  </sheetPr>
  <dimension ref="A1:K5"/>
  <sheetViews>
    <sheetView workbookViewId="0">
      <selection activeCell="A6" sqref="A6:XFD6"/>
    </sheetView>
  </sheetViews>
  <sheetFormatPr defaultRowHeight="15" x14ac:dyDescent="0.25"/>
  <cols>
    <col min="2" max="2" width="17" customWidth="1"/>
    <col min="4" max="4" width="18.85546875" bestFit="1" customWidth="1"/>
    <col min="5" max="5" width="10.7109375" customWidth="1"/>
  </cols>
  <sheetData>
    <row r="1" spans="1:11" x14ac:dyDescent="0.25">
      <c r="A1" t="s">
        <v>24</v>
      </c>
      <c r="B1" t="s">
        <v>25</v>
      </c>
      <c r="C1" t="s">
        <v>26</v>
      </c>
      <c r="D1" t="s">
        <v>27</v>
      </c>
      <c r="E1" t="s">
        <v>28</v>
      </c>
      <c r="J1" t="s">
        <v>48</v>
      </c>
      <c r="K1" s="14" t="str" cm="1">
        <f t="array" ref="K1">"sede."&amp;(LOOKUP(2,1/(B:B&lt;&gt;""),ROW(B:B))-1)</f>
        <v>sede.4</v>
      </c>
    </row>
    <row r="2" spans="1:11" x14ac:dyDescent="0.25">
      <c r="A2" t="s">
        <v>49</v>
      </c>
      <c r="B2" t="s">
        <v>63</v>
      </c>
      <c r="C2" t="s">
        <v>63</v>
      </c>
      <c r="D2" t="s">
        <v>169</v>
      </c>
      <c r="E2">
        <v>300</v>
      </c>
    </row>
    <row r="3" spans="1:11" x14ac:dyDescent="0.25">
      <c r="A3" t="s">
        <v>60</v>
      </c>
      <c r="B3" t="s">
        <v>170</v>
      </c>
      <c r="C3" t="s">
        <v>170</v>
      </c>
      <c r="D3" t="s">
        <v>171</v>
      </c>
      <c r="E3">
        <v>600</v>
      </c>
    </row>
    <row r="4" spans="1:11" x14ac:dyDescent="0.25">
      <c r="A4" t="s">
        <v>62</v>
      </c>
      <c r="B4" t="s">
        <v>61</v>
      </c>
      <c r="C4" t="s">
        <v>61</v>
      </c>
      <c r="D4" t="s">
        <v>172</v>
      </c>
      <c r="E4">
        <v>450</v>
      </c>
    </row>
    <row r="5" spans="1:11" x14ac:dyDescent="0.25">
      <c r="A5" t="s">
        <v>64</v>
      </c>
      <c r="B5" t="s">
        <v>52</v>
      </c>
      <c r="C5" t="s">
        <v>52</v>
      </c>
      <c r="D5" t="s">
        <v>52</v>
      </c>
      <c r="E5">
        <v>1000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F56F1-EB06-41C8-9A78-957C099DDE77}">
  <sheetPr codeName="Foglio4">
    <tabColor rgb="FFFF0000"/>
  </sheetPr>
  <dimension ref="A1:K17"/>
  <sheetViews>
    <sheetView workbookViewId="0">
      <selection activeCell="I6" sqref="I6"/>
    </sheetView>
  </sheetViews>
  <sheetFormatPr defaultRowHeight="15" x14ac:dyDescent="0.25"/>
  <cols>
    <col min="1" max="1" width="10.42578125" customWidth="1"/>
    <col min="2" max="2" width="21.42578125" customWidth="1"/>
    <col min="3" max="3" width="15.28515625" customWidth="1"/>
    <col min="4" max="4" width="10.28515625" style="16" customWidth="1"/>
    <col min="6" max="6" width="15" customWidth="1"/>
  </cols>
  <sheetData>
    <row r="1" spans="1:11" x14ac:dyDescent="0.25">
      <c r="A1" t="s">
        <v>14</v>
      </c>
      <c r="B1" t="s">
        <v>15</v>
      </c>
      <c r="C1" t="s">
        <v>16</v>
      </c>
      <c r="D1" s="16" t="s">
        <v>17</v>
      </c>
      <c r="E1" t="s">
        <v>18</v>
      </c>
      <c r="F1" t="s">
        <v>163</v>
      </c>
      <c r="J1" t="s">
        <v>48</v>
      </c>
      <c r="K1" t="str" cm="1">
        <f t="array" ref="K1">"corso."&amp;(LOOKUP(2,1/(B:B&lt;&gt;""),ROW(B:B))-1)</f>
        <v>corso.16</v>
      </c>
    </row>
    <row r="2" spans="1:11" x14ac:dyDescent="0.25">
      <c r="A2" t="s">
        <v>50</v>
      </c>
      <c r="B2" t="s">
        <v>54</v>
      </c>
      <c r="C2" t="s">
        <v>55</v>
      </c>
      <c r="D2" s="16">
        <v>120</v>
      </c>
      <c r="E2">
        <v>100</v>
      </c>
      <c r="F2" s="16">
        <f>Tabella3[[#This Row],[PREZZO]]*Tabella3[[#This Row],[ORE]]</f>
        <v>12000</v>
      </c>
    </row>
    <row r="3" spans="1:11" x14ac:dyDescent="0.25">
      <c r="A3" t="s">
        <v>66</v>
      </c>
      <c r="B3" t="s">
        <v>65</v>
      </c>
      <c r="C3" t="s">
        <v>55</v>
      </c>
      <c r="D3" s="16">
        <v>150</v>
      </c>
      <c r="E3">
        <v>150</v>
      </c>
      <c r="F3" s="16">
        <f>Tabella3[[#This Row],[PREZZO]]*Tabella3[[#This Row],[ORE]]</f>
        <v>22500</v>
      </c>
    </row>
    <row r="4" spans="1:11" x14ac:dyDescent="0.25">
      <c r="A4" t="s">
        <v>68</v>
      </c>
      <c r="B4" t="s">
        <v>67</v>
      </c>
      <c r="C4" t="s">
        <v>55</v>
      </c>
      <c r="D4" s="16">
        <v>100</v>
      </c>
      <c r="E4">
        <v>90</v>
      </c>
      <c r="F4" s="16">
        <f>Tabella3[[#This Row],[PREZZO]]*Tabella3[[#This Row],[ORE]]</f>
        <v>9000</v>
      </c>
    </row>
    <row r="5" spans="1:11" x14ac:dyDescent="0.25">
      <c r="A5" t="s">
        <v>70</v>
      </c>
      <c r="B5" t="s">
        <v>173</v>
      </c>
      <c r="C5" t="s">
        <v>55</v>
      </c>
      <c r="D5" s="16">
        <v>250</v>
      </c>
      <c r="E5">
        <v>200</v>
      </c>
      <c r="F5" s="16">
        <f>Tabella3[[#This Row],[PREZZO]]*Tabella3[[#This Row],[ORE]]</f>
        <v>50000</v>
      </c>
    </row>
    <row r="6" spans="1:11" x14ac:dyDescent="0.25">
      <c r="A6" t="s">
        <v>71</v>
      </c>
      <c r="B6" t="s">
        <v>174</v>
      </c>
      <c r="C6" t="s">
        <v>69</v>
      </c>
      <c r="D6" s="16">
        <v>300</v>
      </c>
      <c r="E6">
        <v>200</v>
      </c>
      <c r="F6" s="16">
        <f>Tabella3[[#This Row],[PREZZO]]*Tabella3[[#This Row],[ORE]]</f>
        <v>60000</v>
      </c>
    </row>
    <row r="7" spans="1:11" x14ac:dyDescent="0.25">
      <c r="A7" t="s">
        <v>74</v>
      </c>
      <c r="B7" t="s">
        <v>175</v>
      </c>
      <c r="C7" t="s">
        <v>69</v>
      </c>
      <c r="D7" s="16">
        <v>250</v>
      </c>
      <c r="E7">
        <v>160</v>
      </c>
      <c r="F7" s="16">
        <f>Tabella3[[#This Row],[PREZZO]]*Tabella3[[#This Row],[ORE]]</f>
        <v>40000</v>
      </c>
    </row>
    <row r="8" spans="1:11" x14ac:dyDescent="0.25">
      <c r="A8" t="s">
        <v>76</v>
      </c>
      <c r="B8" t="s">
        <v>176</v>
      </c>
      <c r="C8" t="s">
        <v>69</v>
      </c>
      <c r="D8" s="16">
        <v>500</v>
      </c>
      <c r="E8">
        <v>200</v>
      </c>
      <c r="F8" s="16">
        <f>Tabella3[[#This Row],[PREZZO]]*Tabella3[[#This Row],[ORE]]</f>
        <v>100000</v>
      </c>
    </row>
    <row r="9" spans="1:11" x14ac:dyDescent="0.25">
      <c r="A9" t="s">
        <v>79</v>
      </c>
      <c r="B9" t="s">
        <v>177</v>
      </c>
      <c r="C9" t="s">
        <v>69</v>
      </c>
      <c r="D9" s="16">
        <v>400</v>
      </c>
      <c r="E9">
        <v>200</v>
      </c>
      <c r="F9" s="16">
        <f>Tabella3[[#This Row],[PREZZO]]*Tabella3[[#This Row],[ORE]]</f>
        <v>80000</v>
      </c>
    </row>
    <row r="10" spans="1:11" x14ac:dyDescent="0.25">
      <c r="A10" t="s">
        <v>80</v>
      </c>
      <c r="B10" t="s">
        <v>77</v>
      </c>
      <c r="C10" t="s">
        <v>78</v>
      </c>
      <c r="D10" s="16">
        <v>250</v>
      </c>
      <c r="E10">
        <v>200</v>
      </c>
      <c r="F10" s="16">
        <f>Tabella3[[#This Row],[PREZZO]]*Tabella3[[#This Row],[ORE]]</f>
        <v>50000</v>
      </c>
    </row>
    <row r="11" spans="1:11" x14ac:dyDescent="0.25">
      <c r="A11" t="s">
        <v>81</v>
      </c>
      <c r="B11" t="s">
        <v>127</v>
      </c>
      <c r="C11" t="s">
        <v>78</v>
      </c>
      <c r="D11" s="16">
        <v>500</v>
      </c>
      <c r="E11">
        <v>200</v>
      </c>
      <c r="F11" s="16">
        <f>Tabella3[[#This Row],[PREZZO]]*Tabella3[[#This Row],[ORE]]</f>
        <v>100000</v>
      </c>
    </row>
    <row r="12" spans="1:11" x14ac:dyDescent="0.25">
      <c r="A12" t="s">
        <v>125</v>
      </c>
      <c r="B12" t="s">
        <v>178</v>
      </c>
      <c r="C12" t="s">
        <v>78</v>
      </c>
      <c r="D12" s="16">
        <v>300</v>
      </c>
      <c r="E12">
        <v>100</v>
      </c>
      <c r="F12" s="16">
        <f>Tabella3[[#This Row],[PREZZO]]*Tabella3[[#This Row],[ORE]]</f>
        <v>30000</v>
      </c>
    </row>
    <row r="13" spans="1:11" x14ac:dyDescent="0.25">
      <c r="A13" t="s">
        <v>126</v>
      </c>
      <c r="B13" t="s">
        <v>179</v>
      </c>
      <c r="C13" t="s">
        <v>78</v>
      </c>
      <c r="D13" s="16">
        <v>500</v>
      </c>
      <c r="E13">
        <v>200</v>
      </c>
      <c r="F13" s="16">
        <f>Tabella3[[#This Row],[PREZZO]]*Tabella3[[#This Row],[ORE]]</f>
        <v>100000</v>
      </c>
    </row>
    <row r="14" spans="1:11" x14ac:dyDescent="0.25">
      <c r="A14" t="s">
        <v>128</v>
      </c>
      <c r="B14" t="s">
        <v>72</v>
      </c>
      <c r="C14" t="s">
        <v>73</v>
      </c>
      <c r="D14" s="16">
        <v>500</v>
      </c>
      <c r="E14">
        <v>200</v>
      </c>
      <c r="F14" s="16">
        <f>Tabella3[[#This Row],[PREZZO]]*Tabella3[[#This Row],[ORE]]</f>
        <v>100000</v>
      </c>
    </row>
    <row r="15" spans="1:11" x14ac:dyDescent="0.25">
      <c r="A15" t="s">
        <v>129</v>
      </c>
      <c r="B15" t="s">
        <v>75</v>
      </c>
      <c r="C15" t="s">
        <v>73</v>
      </c>
      <c r="D15" s="16">
        <v>400</v>
      </c>
      <c r="E15">
        <v>200</v>
      </c>
      <c r="F15" s="16">
        <f>Tabella3[[#This Row],[PREZZO]]*Tabella3[[#This Row],[ORE]]</f>
        <v>80000</v>
      </c>
    </row>
    <row r="16" spans="1:11" x14ac:dyDescent="0.25">
      <c r="A16" t="s">
        <v>159</v>
      </c>
      <c r="B16" t="s">
        <v>180</v>
      </c>
      <c r="C16" t="s">
        <v>73</v>
      </c>
      <c r="D16" s="16">
        <v>350</v>
      </c>
      <c r="E16">
        <v>120</v>
      </c>
      <c r="F16" s="16">
        <f>Tabella3[[#This Row],[PREZZO]]*Tabella3[[#This Row],[ORE]]</f>
        <v>42000</v>
      </c>
    </row>
    <row r="17" spans="1:6" x14ac:dyDescent="0.25">
      <c r="A17" t="s">
        <v>181</v>
      </c>
      <c r="B17" t="s">
        <v>182</v>
      </c>
      <c r="C17" t="s">
        <v>73</v>
      </c>
      <c r="D17" s="16">
        <v>500</v>
      </c>
      <c r="E17">
        <v>200</v>
      </c>
      <c r="F17" s="16">
        <f>Tabella3[[#This Row],[PREZZO]]*Tabella3[[#This Row],[ORE]]</f>
        <v>100000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A34FF-A6FF-4143-99E0-1C8FCC410752}">
  <sheetPr codeName="Foglio3">
    <tabColor theme="8" tint="0.59999389629810485"/>
  </sheetPr>
  <dimension ref="A1:K17"/>
  <sheetViews>
    <sheetView workbookViewId="0">
      <selection activeCell="E19" sqref="E19"/>
    </sheetView>
  </sheetViews>
  <sheetFormatPr defaultRowHeight="15" x14ac:dyDescent="0.25"/>
  <cols>
    <col min="1" max="1" width="12.42578125" customWidth="1"/>
    <col min="2" max="2" width="19.28515625" customWidth="1"/>
    <col min="3" max="3" width="21.140625" customWidth="1"/>
    <col min="4" max="4" width="25.7109375" style="15" customWidth="1"/>
    <col min="5" max="5" width="33.28515625" customWidth="1"/>
    <col min="6" max="6" width="20" customWidth="1"/>
    <col min="7" max="7" width="23.28515625" customWidth="1"/>
  </cols>
  <sheetData>
    <row r="1" spans="1:11" x14ac:dyDescent="0.25">
      <c r="A1" t="s">
        <v>19</v>
      </c>
      <c r="B1" t="s">
        <v>20</v>
      </c>
      <c r="C1" t="s">
        <v>21</v>
      </c>
      <c r="D1" s="15" t="s">
        <v>22</v>
      </c>
      <c r="E1" t="s">
        <v>23</v>
      </c>
      <c r="F1" t="s">
        <v>16</v>
      </c>
      <c r="G1" t="s">
        <v>51</v>
      </c>
      <c r="J1" t="s">
        <v>48</v>
      </c>
      <c r="K1" t="str" cm="1">
        <f t="array" ref="K1">"docente."&amp;(LOOKUP(2,1/(B:B&lt;&gt;""),ROW(B:B))-1)</f>
        <v>docente.16</v>
      </c>
    </row>
    <row r="2" spans="1:11" x14ac:dyDescent="0.25">
      <c r="A2" t="s">
        <v>56</v>
      </c>
      <c r="B2" t="s">
        <v>57</v>
      </c>
      <c r="C2" t="s">
        <v>58</v>
      </c>
      <c r="D2" s="15">
        <v>30807</v>
      </c>
      <c r="E2" t="s">
        <v>59</v>
      </c>
      <c r="F2" t="s">
        <v>55</v>
      </c>
      <c r="G2" t="str">
        <f t="shared" ref="G2:G13" si="0">B2&amp;" "&amp;C2</f>
        <v>DANTE ALIGHIERI</v>
      </c>
    </row>
    <row r="3" spans="1:11" x14ac:dyDescent="0.25">
      <c r="A3" t="s">
        <v>87</v>
      </c>
      <c r="B3" t="s">
        <v>115</v>
      </c>
      <c r="C3" t="s">
        <v>116</v>
      </c>
      <c r="D3" s="15">
        <v>23468</v>
      </c>
      <c r="E3" t="s">
        <v>53</v>
      </c>
      <c r="F3" t="s">
        <v>55</v>
      </c>
      <c r="G3" t="str">
        <f t="shared" si="0"/>
        <v>ALESSANDRA GUERRIERO</v>
      </c>
    </row>
    <row r="4" spans="1:11" x14ac:dyDescent="0.25">
      <c r="A4" t="s">
        <v>88</v>
      </c>
      <c r="B4" s="68" t="s">
        <v>130</v>
      </c>
      <c r="C4" s="68" t="s">
        <v>131</v>
      </c>
      <c r="D4" s="69">
        <v>27730</v>
      </c>
      <c r="E4" s="68" t="s">
        <v>132</v>
      </c>
      <c r="F4" s="68" t="s">
        <v>55</v>
      </c>
      <c r="G4" s="70" t="str">
        <f t="shared" si="0"/>
        <v>FRANCA DE BELLIS</v>
      </c>
    </row>
    <row r="5" spans="1:11" x14ac:dyDescent="0.25">
      <c r="A5" t="s">
        <v>89</v>
      </c>
      <c r="B5" t="s">
        <v>117</v>
      </c>
      <c r="C5" t="s">
        <v>118</v>
      </c>
      <c r="D5" s="15">
        <v>24422</v>
      </c>
      <c r="E5" t="s">
        <v>61</v>
      </c>
      <c r="F5" t="s">
        <v>55</v>
      </c>
      <c r="G5" t="str">
        <f t="shared" si="0"/>
        <v>ANDREA PORTANOVA</v>
      </c>
    </row>
    <row r="6" spans="1:11" x14ac:dyDescent="0.25">
      <c r="A6" t="s">
        <v>99</v>
      </c>
      <c r="B6" t="s">
        <v>120</v>
      </c>
      <c r="C6" t="s">
        <v>121</v>
      </c>
      <c r="D6" s="15">
        <v>21996</v>
      </c>
      <c r="E6" t="s">
        <v>63</v>
      </c>
      <c r="F6" t="s">
        <v>69</v>
      </c>
      <c r="G6" t="str">
        <f t="shared" si="0"/>
        <v>ENZA LOSAPPIO</v>
      </c>
    </row>
    <row r="7" spans="1:11" x14ac:dyDescent="0.25">
      <c r="A7" t="s">
        <v>113</v>
      </c>
      <c r="B7" t="s">
        <v>183</v>
      </c>
      <c r="C7" t="s">
        <v>184</v>
      </c>
      <c r="D7" s="15">
        <v>25476</v>
      </c>
      <c r="E7" t="s">
        <v>53</v>
      </c>
      <c r="F7" t="s">
        <v>69</v>
      </c>
      <c r="G7" t="str">
        <f t="shared" si="0"/>
        <v>LEONARDO FIBONACCI</v>
      </c>
    </row>
    <row r="8" spans="1:11" x14ac:dyDescent="0.25">
      <c r="A8" t="s">
        <v>106</v>
      </c>
      <c r="B8" t="s">
        <v>123</v>
      </c>
      <c r="C8" t="s">
        <v>124</v>
      </c>
      <c r="D8" s="15">
        <v>24983</v>
      </c>
      <c r="E8" t="s">
        <v>61</v>
      </c>
      <c r="F8" t="s">
        <v>69</v>
      </c>
      <c r="G8" t="str">
        <f t="shared" si="0"/>
        <v>GIULIA VOCINO</v>
      </c>
    </row>
    <row r="9" spans="1:11" x14ac:dyDescent="0.25">
      <c r="A9" t="s">
        <v>119</v>
      </c>
      <c r="B9" t="s">
        <v>103</v>
      </c>
      <c r="C9" t="s">
        <v>104</v>
      </c>
      <c r="D9" s="15">
        <v>29377</v>
      </c>
      <c r="E9" t="s">
        <v>84</v>
      </c>
      <c r="F9" t="s">
        <v>69</v>
      </c>
      <c r="G9" t="str">
        <f t="shared" si="0"/>
        <v>MARIA CHIARA BIONDI</v>
      </c>
    </row>
    <row r="10" spans="1:11" x14ac:dyDescent="0.25">
      <c r="A10" t="s">
        <v>112</v>
      </c>
      <c r="B10" t="s">
        <v>82</v>
      </c>
      <c r="C10" t="s">
        <v>83</v>
      </c>
      <c r="D10" s="15">
        <v>13150</v>
      </c>
      <c r="E10" t="s">
        <v>84</v>
      </c>
      <c r="F10" t="s">
        <v>73</v>
      </c>
      <c r="G10" t="str">
        <f t="shared" si="0"/>
        <v>ALBERT EINSTEIN</v>
      </c>
    </row>
    <row r="11" spans="1:11" x14ac:dyDescent="0.25">
      <c r="A11" t="s">
        <v>102</v>
      </c>
      <c r="B11" t="s">
        <v>185</v>
      </c>
      <c r="C11" t="s">
        <v>186</v>
      </c>
      <c r="D11" s="15">
        <v>25197</v>
      </c>
      <c r="E11" t="s">
        <v>187</v>
      </c>
      <c r="F11" t="s">
        <v>73</v>
      </c>
      <c r="G11" t="str">
        <f t="shared" si="0"/>
        <v>ISAAC NEWTON</v>
      </c>
    </row>
    <row r="12" spans="1:11" x14ac:dyDescent="0.25">
      <c r="A12" t="s">
        <v>101</v>
      </c>
      <c r="B12" t="s">
        <v>188</v>
      </c>
      <c r="C12" t="s">
        <v>189</v>
      </c>
      <c r="D12" s="15">
        <v>27809</v>
      </c>
      <c r="E12" t="s">
        <v>61</v>
      </c>
      <c r="F12" t="s">
        <v>73</v>
      </c>
      <c r="G12" t="str">
        <f t="shared" si="0"/>
        <v>NICOLO' COPERNICO</v>
      </c>
    </row>
    <row r="13" spans="1:11" x14ac:dyDescent="0.25">
      <c r="A13" t="s">
        <v>100</v>
      </c>
      <c r="B13" t="s">
        <v>190</v>
      </c>
      <c r="C13" t="s">
        <v>191</v>
      </c>
      <c r="D13" s="15">
        <v>26490</v>
      </c>
      <c r="E13" t="s">
        <v>63</v>
      </c>
      <c r="F13" t="s">
        <v>73</v>
      </c>
      <c r="G13" t="str">
        <f t="shared" si="0"/>
        <v>NIKOLA TESLA</v>
      </c>
    </row>
    <row r="14" spans="1:11" x14ac:dyDescent="0.25">
      <c r="A14" t="s">
        <v>114</v>
      </c>
      <c r="B14" t="s">
        <v>85</v>
      </c>
      <c r="C14" t="s">
        <v>86</v>
      </c>
      <c r="D14" s="15">
        <v>17203</v>
      </c>
      <c r="E14" t="s">
        <v>53</v>
      </c>
      <c r="F14" t="s">
        <v>78</v>
      </c>
      <c r="G14" t="str">
        <f>B14&amp;" "&amp;C14</f>
        <v>JOHN WATSON</v>
      </c>
    </row>
    <row r="15" spans="1:11" x14ac:dyDescent="0.25">
      <c r="A15" t="s">
        <v>122</v>
      </c>
      <c r="B15" t="s">
        <v>107</v>
      </c>
      <c r="C15" t="s">
        <v>108</v>
      </c>
      <c r="D15" s="15">
        <v>24934</v>
      </c>
      <c r="E15" t="s">
        <v>63</v>
      </c>
      <c r="F15" t="s">
        <v>78</v>
      </c>
      <c r="G15" t="str">
        <f>B15&amp;" "&amp;C15</f>
        <v>SIMONA REALE</v>
      </c>
    </row>
    <row r="16" spans="1:11" x14ac:dyDescent="0.25">
      <c r="A16" t="s">
        <v>105</v>
      </c>
      <c r="B16" t="s">
        <v>109</v>
      </c>
      <c r="C16" t="s">
        <v>110</v>
      </c>
      <c r="D16" s="15">
        <v>26860</v>
      </c>
      <c r="E16" t="s">
        <v>61</v>
      </c>
      <c r="F16" t="s">
        <v>78</v>
      </c>
      <c r="G16" t="str">
        <f>B16&amp;" "&amp;C16</f>
        <v>FRANCESCO IPPOLITO</v>
      </c>
    </row>
    <row r="17" spans="1:7" x14ac:dyDescent="0.25">
      <c r="A17" t="s">
        <v>111</v>
      </c>
      <c r="B17" t="s">
        <v>133</v>
      </c>
      <c r="C17" t="s">
        <v>134</v>
      </c>
      <c r="D17" s="15">
        <v>32249</v>
      </c>
      <c r="E17" t="s">
        <v>135</v>
      </c>
      <c r="F17" t="s">
        <v>78</v>
      </c>
      <c r="G17" t="str">
        <f>B17&amp;" "&amp;C17</f>
        <v>CHIARA RAPELLI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32F759-117A-430F-A5C6-0C6A82AEC7E1}">
  <sheetPr codeName="Foglio5">
    <tabColor rgb="FFFFFF00"/>
  </sheetPr>
  <dimension ref="A1:K17"/>
  <sheetViews>
    <sheetView workbookViewId="0">
      <selection activeCell="H2" sqref="H2"/>
    </sheetView>
  </sheetViews>
  <sheetFormatPr defaultRowHeight="15" x14ac:dyDescent="0.25"/>
  <cols>
    <col min="1" max="1" width="21.140625" customWidth="1"/>
    <col min="2" max="2" width="28.140625" customWidth="1"/>
    <col min="3" max="3" width="21.7109375" customWidth="1"/>
    <col min="4" max="4" width="13.5703125" customWidth="1"/>
    <col min="5" max="5" width="18" style="15" customWidth="1"/>
    <col min="6" max="6" width="14.85546875" style="15" customWidth="1"/>
    <col min="7" max="7" width="11.140625" customWidth="1"/>
    <col min="8" max="8" width="20.42578125" style="37" customWidth="1"/>
  </cols>
  <sheetData>
    <row r="1" spans="1:11" x14ac:dyDescent="0.25">
      <c r="A1" t="s">
        <v>29</v>
      </c>
      <c r="B1" t="s">
        <v>14</v>
      </c>
      <c r="C1" t="s">
        <v>19</v>
      </c>
      <c r="D1" t="s">
        <v>24</v>
      </c>
      <c r="E1" s="15" t="s">
        <v>30</v>
      </c>
      <c r="F1" s="15" t="s">
        <v>31</v>
      </c>
      <c r="G1" t="s">
        <v>18</v>
      </c>
      <c r="H1" s="37" t="s">
        <v>202</v>
      </c>
      <c r="J1" t="s">
        <v>48</v>
      </c>
      <c r="K1" t="str" cm="1">
        <f t="array" ref="K1">"programmazione."&amp;(LOOKUP(2,1/(B:B&lt;&gt;""),ROW(B:B))-1)</f>
        <v>programmazione.16</v>
      </c>
    </row>
    <row r="2" spans="1:11" x14ac:dyDescent="0.25">
      <c r="A2" t="s">
        <v>90</v>
      </c>
      <c r="B2" t="s">
        <v>72</v>
      </c>
      <c r="C2" t="s">
        <v>91</v>
      </c>
      <c r="D2" t="s">
        <v>63</v>
      </c>
      <c r="E2" s="15">
        <v>45019</v>
      </c>
      <c r="F2" s="15">
        <v>45168</v>
      </c>
      <c r="G2">
        <f>_xlfn.XLOOKUP(Tabella5[[#This Row],[ID CORSO]],TIT_CORSO,ORE,,0)</f>
        <v>200</v>
      </c>
      <c r="H2" s="37">
        <f>_xlfn.XLOOKUP(Tabella5[[#This Row],[ID CORSO]],NOME_CORSO,COSTO_TOTALE,0)</f>
        <v>100000</v>
      </c>
    </row>
    <row r="3" spans="1:11" x14ac:dyDescent="0.25">
      <c r="A3" t="s">
        <v>92</v>
      </c>
      <c r="B3" t="s">
        <v>75</v>
      </c>
      <c r="C3" t="s">
        <v>197</v>
      </c>
      <c r="D3" t="s">
        <v>53</v>
      </c>
      <c r="E3" s="15">
        <v>45083</v>
      </c>
      <c r="F3" s="15">
        <v>45168</v>
      </c>
      <c r="G3">
        <f>_xlfn.XLOOKUP(Tabella5[[#This Row],[ID CORSO]],TIT_CORSO,ORE,,0)</f>
        <v>200</v>
      </c>
      <c r="H3" s="37">
        <f>_xlfn.XLOOKUP(Tabella5[[#This Row],[ID CORSO]],NOME_CORSO,COSTO_TOTALE,0)</f>
        <v>80000</v>
      </c>
    </row>
    <row r="4" spans="1:11" x14ac:dyDescent="0.25">
      <c r="A4" t="s">
        <v>93</v>
      </c>
      <c r="B4" t="s">
        <v>180</v>
      </c>
      <c r="C4" t="s">
        <v>198</v>
      </c>
      <c r="D4" t="s">
        <v>61</v>
      </c>
      <c r="E4" s="15">
        <v>45047</v>
      </c>
      <c r="F4" s="15">
        <v>45199</v>
      </c>
      <c r="G4">
        <f>_xlfn.XLOOKUP(Tabella5[[#This Row],[ID CORSO]],TIT_CORSO,ORE,,0)</f>
        <v>120</v>
      </c>
      <c r="H4" s="37">
        <f>_xlfn.XLOOKUP(Tabella5[[#This Row],[ID CORSO]],NOME_CORSO,COSTO_TOTALE,0)</f>
        <v>42000</v>
      </c>
    </row>
    <row r="5" spans="1:11" x14ac:dyDescent="0.25">
      <c r="A5" t="s">
        <v>136</v>
      </c>
      <c r="B5" t="s">
        <v>182</v>
      </c>
      <c r="C5" t="s">
        <v>199</v>
      </c>
      <c r="D5" t="s">
        <v>52</v>
      </c>
      <c r="E5" s="15">
        <v>45065</v>
      </c>
      <c r="F5" s="15">
        <v>45137</v>
      </c>
      <c r="G5">
        <f>_xlfn.XLOOKUP(Tabella5[[#This Row],[ID CORSO]],TIT_CORSO,ORE,,0)</f>
        <v>200</v>
      </c>
      <c r="H5" s="37">
        <f>_xlfn.XLOOKUP(Tabella5[[#This Row],[ID CORSO]],NOME_CORSO,COSTO_TOTALE,0)</f>
        <v>100000</v>
      </c>
    </row>
    <row r="6" spans="1:11" x14ac:dyDescent="0.25">
      <c r="A6" t="s">
        <v>139</v>
      </c>
      <c r="B6" t="s">
        <v>77</v>
      </c>
      <c r="C6" t="s">
        <v>137</v>
      </c>
      <c r="D6" t="s">
        <v>53</v>
      </c>
      <c r="E6" s="15">
        <v>45047</v>
      </c>
      <c r="F6" s="15">
        <v>45107</v>
      </c>
      <c r="G6">
        <f>_xlfn.XLOOKUP(Tabella5[[#This Row],[ID CORSO]],TIT_CORSO,ORE,,0)</f>
        <v>200</v>
      </c>
      <c r="H6" s="37">
        <f>_xlfn.XLOOKUP(Tabella5[[#This Row],[ID CORSO]],NOME_CORSO,COSTO_TOTALE,0)</f>
        <v>50000</v>
      </c>
    </row>
    <row r="7" spans="1:11" x14ac:dyDescent="0.25">
      <c r="A7" t="s">
        <v>141</v>
      </c>
      <c r="B7" t="s">
        <v>127</v>
      </c>
      <c r="C7" t="s">
        <v>152</v>
      </c>
      <c r="D7" t="s">
        <v>63</v>
      </c>
      <c r="E7" s="15">
        <v>45053</v>
      </c>
      <c r="F7" s="15">
        <v>45076</v>
      </c>
      <c r="G7">
        <f>_xlfn.XLOOKUP(Tabella5[[#This Row],[ID CORSO]],TIT_CORSO,ORE,,0)</f>
        <v>200</v>
      </c>
      <c r="H7" s="37">
        <f>_xlfn.XLOOKUP(Tabella5[[#This Row],[ID CORSO]],NOME_CORSO,COSTO_TOTALE,0)</f>
        <v>100000</v>
      </c>
    </row>
    <row r="8" spans="1:11" x14ac:dyDescent="0.25">
      <c r="A8" t="s">
        <v>142</v>
      </c>
      <c r="B8" t="s">
        <v>178</v>
      </c>
      <c r="C8" t="s">
        <v>200</v>
      </c>
      <c r="D8" t="s">
        <v>61</v>
      </c>
      <c r="E8" s="15">
        <v>45021</v>
      </c>
      <c r="F8" s="15">
        <v>45076</v>
      </c>
      <c r="G8">
        <f>_xlfn.XLOOKUP(Tabella5[[#This Row],[ID CORSO]],TIT_CORSO,ORE,,0)</f>
        <v>100</v>
      </c>
      <c r="H8" s="37">
        <f>_xlfn.XLOOKUP(Tabella5[[#This Row],[ID CORSO]],NOME_CORSO,COSTO_TOTALE,0)</f>
        <v>30000</v>
      </c>
    </row>
    <row r="9" spans="1:11" x14ac:dyDescent="0.25">
      <c r="A9" t="s">
        <v>143</v>
      </c>
      <c r="B9" t="s">
        <v>179</v>
      </c>
      <c r="C9" t="s">
        <v>201</v>
      </c>
      <c r="D9" t="s">
        <v>52</v>
      </c>
      <c r="E9" s="15">
        <v>45081</v>
      </c>
      <c r="F9" s="15">
        <v>45199</v>
      </c>
      <c r="G9">
        <f>_xlfn.XLOOKUP(Tabella5[[#This Row],[ID CORSO]],TIT_CORSO,ORE,,0)</f>
        <v>200</v>
      </c>
      <c r="H9" s="37">
        <f>_xlfn.XLOOKUP(Tabella5[[#This Row],[ID CORSO]],NOME_CORSO,COSTO_TOTALE,0)</f>
        <v>100000</v>
      </c>
    </row>
    <row r="10" spans="1:11" x14ac:dyDescent="0.25">
      <c r="A10" t="s">
        <v>144</v>
      </c>
      <c r="B10" t="s">
        <v>54</v>
      </c>
      <c r="C10" t="s">
        <v>138</v>
      </c>
      <c r="D10" t="s">
        <v>52</v>
      </c>
      <c r="E10" s="15">
        <v>45081</v>
      </c>
      <c r="F10" s="15">
        <v>45137</v>
      </c>
      <c r="G10">
        <f>_xlfn.XLOOKUP(Tabella5[[#This Row],[ID CORSO]],TIT_CORSO,ORE,,0)</f>
        <v>100</v>
      </c>
      <c r="H10" s="37">
        <f>_xlfn.XLOOKUP(Tabella5[[#This Row],[ID CORSO]],NOME_CORSO,COSTO_TOTALE,0)</f>
        <v>12000</v>
      </c>
    </row>
    <row r="11" spans="1:11" x14ac:dyDescent="0.25">
      <c r="A11" t="s">
        <v>145</v>
      </c>
      <c r="B11" t="s">
        <v>65</v>
      </c>
      <c r="C11" t="s">
        <v>192</v>
      </c>
      <c r="D11" t="s">
        <v>53</v>
      </c>
      <c r="E11" s="15">
        <v>45028</v>
      </c>
      <c r="F11" s="15">
        <v>45076</v>
      </c>
      <c r="G11">
        <f>_xlfn.XLOOKUP(Tabella5[[#This Row],[ID CORSO]],TIT_CORSO,ORE,,0)</f>
        <v>150</v>
      </c>
      <c r="H11" s="37">
        <f>_xlfn.XLOOKUP(Tabella5[[#This Row],[ID CORSO]],NOME_CORSO,COSTO_TOTALE,0)</f>
        <v>22500</v>
      </c>
    </row>
    <row r="12" spans="1:11" x14ac:dyDescent="0.25">
      <c r="A12" t="s">
        <v>146</v>
      </c>
      <c r="B12" t="s">
        <v>67</v>
      </c>
      <c r="C12" t="s">
        <v>193</v>
      </c>
      <c r="D12" t="s">
        <v>63</v>
      </c>
      <c r="E12" s="15">
        <v>45059</v>
      </c>
      <c r="F12" s="15">
        <v>45107</v>
      </c>
      <c r="G12">
        <f>_xlfn.XLOOKUP(Tabella5[[#This Row],[ID CORSO]],TIT_CORSO,ORE,,0)</f>
        <v>90</v>
      </c>
      <c r="H12" s="37">
        <f>_xlfn.XLOOKUP(Tabella5[[#This Row],[ID CORSO]],NOME_CORSO,COSTO_TOTALE,0)</f>
        <v>9000</v>
      </c>
    </row>
    <row r="13" spans="1:11" x14ac:dyDescent="0.25">
      <c r="A13" t="s">
        <v>147</v>
      </c>
      <c r="B13" t="s">
        <v>173</v>
      </c>
      <c r="C13" t="s">
        <v>140</v>
      </c>
      <c r="D13" t="s">
        <v>61</v>
      </c>
      <c r="E13" s="15">
        <v>45047</v>
      </c>
      <c r="F13" s="15">
        <v>45107</v>
      </c>
      <c r="G13">
        <f>_xlfn.XLOOKUP(Tabella5[[#This Row],[ID CORSO]],TIT_CORSO,ORE,,0)</f>
        <v>200</v>
      </c>
      <c r="H13" s="37">
        <f>_xlfn.XLOOKUP(Tabella5[[#This Row],[ID CORSO]],NOME_CORSO,COSTO_TOTALE,0)</f>
        <v>50000</v>
      </c>
    </row>
    <row r="14" spans="1:11" x14ac:dyDescent="0.25">
      <c r="A14" t="s">
        <v>148</v>
      </c>
      <c r="B14" t="s">
        <v>174</v>
      </c>
      <c r="C14" t="s">
        <v>154</v>
      </c>
      <c r="D14" t="s">
        <v>63</v>
      </c>
      <c r="E14" s="15">
        <v>45050</v>
      </c>
      <c r="F14" s="15">
        <v>45107</v>
      </c>
      <c r="G14">
        <f>_xlfn.XLOOKUP(Tabella5[[#This Row],[ID CORSO]],TIT_CORSO,ORE,,0)</f>
        <v>200</v>
      </c>
      <c r="H14" s="37">
        <f>_xlfn.XLOOKUP(Tabella5[[#This Row],[ID CORSO]],NOME_CORSO,COSTO_TOTALE,0)</f>
        <v>60000</v>
      </c>
    </row>
    <row r="15" spans="1:11" x14ac:dyDescent="0.25">
      <c r="A15" t="s">
        <v>149</v>
      </c>
      <c r="B15" t="s">
        <v>175</v>
      </c>
      <c r="C15" t="s">
        <v>194</v>
      </c>
      <c r="D15" t="s">
        <v>52</v>
      </c>
      <c r="E15" s="15">
        <v>45053</v>
      </c>
      <c r="F15" s="15">
        <v>45076</v>
      </c>
      <c r="G15">
        <f>_xlfn.XLOOKUP(Tabella5[[#This Row],[ID CORSO]],TIT_CORSO,ORE,,0)</f>
        <v>160</v>
      </c>
      <c r="H15" s="37">
        <f>_xlfn.XLOOKUP(Tabella5[[#This Row],[ID CORSO]],NOME_CORSO,COSTO_TOTALE,0)</f>
        <v>40000</v>
      </c>
    </row>
    <row r="16" spans="1:11" x14ac:dyDescent="0.25">
      <c r="A16" t="s">
        <v>150</v>
      </c>
      <c r="B16" t="s">
        <v>176</v>
      </c>
      <c r="C16" t="s">
        <v>195</v>
      </c>
      <c r="D16" t="s">
        <v>61</v>
      </c>
      <c r="E16" s="15">
        <v>45055</v>
      </c>
      <c r="F16" s="15">
        <v>45076</v>
      </c>
      <c r="G16">
        <f>_xlfn.XLOOKUP(Tabella5[[#This Row],[ID CORSO]],TIT_CORSO,ORE,,0)</f>
        <v>200</v>
      </c>
      <c r="H16" s="37">
        <f>_xlfn.XLOOKUP(Tabella5[[#This Row],[ID CORSO]],NOME_CORSO,COSTO_TOTALE,0)</f>
        <v>100000</v>
      </c>
    </row>
    <row r="17" spans="1:8" x14ac:dyDescent="0.25">
      <c r="A17" t="s">
        <v>151</v>
      </c>
      <c r="B17" t="s">
        <v>177</v>
      </c>
      <c r="C17" t="s">
        <v>196</v>
      </c>
      <c r="D17" t="s">
        <v>53</v>
      </c>
      <c r="E17" s="15">
        <v>45032</v>
      </c>
      <c r="F17" s="15">
        <v>45076</v>
      </c>
      <c r="G17">
        <f>_xlfn.XLOOKUP(Tabella5[[#This Row],[ID CORSO]],TIT_CORSO,ORE,,0)</f>
        <v>200</v>
      </c>
      <c r="H17" s="37">
        <f>_xlfn.XLOOKUP(Tabella5[[#This Row],[ID CORSO]],NOME_CORSO,COSTO_TOTALE,0)</f>
        <v>80000</v>
      </c>
    </row>
  </sheetData>
  <phoneticPr fontId="6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B71C6-D01E-41B6-9328-E34AB55C660D}">
  <sheetPr codeName="Foglio1"/>
  <dimension ref="A1:A22"/>
  <sheetViews>
    <sheetView topLeftCell="A8" workbookViewId="0">
      <selection activeCell="E13" sqref="E13"/>
    </sheetView>
  </sheetViews>
  <sheetFormatPr defaultRowHeight="15" x14ac:dyDescent="0.25"/>
  <cols>
    <col min="1" max="1" width="133.42578125" customWidth="1"/>
  </cols>
  <sheetData>
    <row r="1" spans="1:1" ht="21" x14ac:dyDescent="0.25">
      <c r="A1" s="1" t="s">
        <v>0</v>
      </c>
    </row>
    <row r="2" spans="1:1" x14ac:dyDescent="0.25">
      <c r="A2" s="2"/>
    </row>
    <row r="3" spans="1:1" s="4" customFormat="1" ht="25.35" customHeight="1" x14ac:dyDescent="0.25">
      <c r="A3" s="3" t="s">
        <v>1</v>
      </c>
    </row>
    <row r="4" spans="1:1" s="4" customFormat="1" ht="25.35" customHeight="1" x14ac:dyDescent="0.25">
      <c r="A4" s="3" t="s">
        <v>2</v>
      </c>
    </row>
    <row r="5" spans="1:1" s="4" customFormat="1" ht="25.35" customHeight="1" x14ac:dyDescent="0.25">
      <c r="A5" s="17" t="s">
        <v>3</v>
      </c>
    </row>
    <row r="6" spans="1:1" s="4" customFormat="1" ht="25.35" customHeight="1" x14ac:dyDescent="0.25">
      <c r="A6" s="17" t="s">
        <v>4</v>
      </c>
    </row>
    <row r="7" spans="1:1" s="4" customFormat="1" ht="25.35" customHeight="1" x14ac:dyDescent="0.25">
      <c r="A7" s="17" t="s">
        <v>5</v>
      </c>
    </row>
    <row r="8" spans="1:1" s="4" customFormat="1" ht="25.35" customHeight="1" x14ac:dyDescent="0.25">
      <c r="A8" s="3" t="s">
        <v>6</v>
      </c>
    </row>
    <row r="9" spans="1:1" s="4" customFormat="1" ht="25.35" customHeight="1" x14ac:dyDescent="0.25">
      <c r="A9" s="17" t="s">
        <v>94</v>
      </c>
    </row>
    <row r="10" spans="1:1" s="4" customFormat="1" ht="25.35" customHeight="1" x14ac:dyDescent="0.25">
      <c r="A10" s="17" t="s">
        <v>95</v>
      </c>
    </row>
    <row r="11" spans="1:1" s="4" customFormat="1" ht="25.35" customHeight="1" x14ac:dyDescent="0.25">
      <c r="A11" s="17" t="s">
        <v>96</v>
      </c>
    </row>
    <row r="12" spans="1:1" s="4" customFormat="1" ht="25.35" customHeight="1" x14ac:dyDescent="0.25">
      <c r="A12" s="5" t="s">
        <v>97</v>
      </c>
    </row>
    <row r="13" spans="1:1" s="4" customFormat="1" ht="25.35" customHeight="1" x14ac:dyDescent="0.25">
      <c r="A13" s="17" t="s">
        <v>98</v>
      </c>
    </row>
    <row r="14" spans="1:1" s="4" customFormat="1" ht="25.35" customHeight="1" x14ac:dyDescent="0.25">
      <c r="A14" s="6"/>
    </row>
    <row r="15" spans="1:1" s="4" customFormat="1" ht="25.35" customHeight="1" x14ac:dyDescent="0.25">
      <c r="A15" s="6" t="s">
        <v>7</v>
      </c>
    </row>
    <row r="16" spans="1:1" s="4" customFormat="1" ht="25.35" customHeight="1" x14ac:dyDescent="0.25">
      <c r="A16" s="6" t="s">
        <v>8</v>
      </c>
    </row>
    <row r="17" spans="1:1" s="4" customFormat="1" ht="25.35" customHeight="1" x14ac:dyDescent="0.25">
      <c r="A17" s="6" t="s">
        <v>9</v>
      </c>
    </row>
    <row r="18" spans="1:1" s="4" customFormat="1" ht="25.35" customHeight="1" x14ac:dyDescent="0.25">
      <c r="A18" s="6" t="s">
        <v>10</v>
      </c>
    </row>
    <row r="19" spans="1:1" s="4" customFormat="1" ht="25.35" customHeight="1" x14ac:dyDescent="0.25">
      <c r="A19" s="6" t="s">
        <v>11</v>
      </c>
    </row>
    <row r="20" spans="1:1" s="4" customFormat="1" ht="25.35" customHeight="1" x14ac:dyDescent="0.25">
      <c r="A20" s="6" t="s">
        <v>12</v>
      </c>
    </row>
    <row r="21" spans="1:1" s="4" customFormat="1" ht="25.35" customHeight="1" x14ac:dyDescent="0.25">
      <c r="A21" s="3"/>
    </row>
    <row r="22" spans="1:1" s="4" customFormat="1" ht="25.35" customHeight="1" x14ac:dyDescent="0.25">
      <c r="A22" s="3" t="s">
        <v>13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383A2-9F1C-4F8C-B000-263750A75F73}">
  <sheetPr codeName="Foglio9"/>
  <dimension ref="B3:M156"/>
  <sheetViews>
    <sheetView topLeftCell="A135" workbookViewId="0">
      <selection activeCell="B139" sqref="B139"/>
    </sheetView>
  </sheetViews>
  <sheetFormatPr defaultRowHeight="15" x14ac:dyDescent="0.25"/>
  <cols>
    <col min="2" max="2" width="18.28515625" bestFit="1" customWidth="1"/>
    <col min="3" max="3" width="17" bestFit="1" customWidth="1"/>
    <col min="4" max="4" width="18.42578125" bestFit="1" customWidth="1"/>
    <col min="5" max="5" width="5.5703125" bestFit="1" customWidth="1"/>
    <col min="6" max="6" width="18.28515625" bestFit="1" customWidth="1"/>
    <col min="7" max="7" width="13.28515625" bestFit="1" customWidth="1"/>
    <col min="8" max="8" width="26.7109375" bestFit="1" customWidth="1"/>
    <col min="9" max="9" width="13.28515625" bestFit="1" customWidth="1"/>
    <col min="10" max="10" width="18.28515625" bestFit="1" customWidth="1"/>
    <col min="11" max="11" width="23.5703125" bestFit="1" customWidth="1"/>
    <col min="12" max="12" width="13.85546875" bestFit="1" customWidth="1"/>
    <col min="13" max="13" width="17" bestFit="1" customWidth="1"/>
    <col min="14" max="14" width="26.7109375" bestFit="1" customWidth="1"/>
    <col min="15" max="15" width="13.28515625" bestFit="1" customWidth="1"/>
    <col min="16" max="16" width="26.7109375" bestFit="1" customWidth="1"/>
    <col min="17" max="17" width="13.28515625" bestFit="1" customWidth="1"/>
    <col min="18" max="18" width="26.7109375" bestFit="1" customWidth="1"/>
    <col min="19" max="19" width="13.28515625" bestFit="1" customWidth="1"/>
    <col min="20" max="20" width="26.7109375" bestFit="1" customWidth="1"/>
    <col min="21" max="21" width="13.28515625" bestFit="1" customWidth="1"/>
    <col min="22" max="22" width="26.7109375" bestFit="1" customWidth="1"/>
    <col min="23" max="23" width="13.28515625" bestFit="1" customWidth="1"/>
    <col min="24" max="24" width="26.7109375" bestFit="1" customWidth="1"/>
    <col min="25" max="25" width="13.28515625" bestFit="1" customWidth="1"/>
    <col min="26" max="26" width="26.7109375" bestFit="1" customWidth="1"/>
    <col min="27" max="27" width="18.7109375" bestFit="1" customWidth="1"/>
    <col min="28" max="28" width="32.28515625" bestFit="1" customWidth="1"/>
    <col min="29" max="29" width="13.28515625" bestFit="1" customWidth="1"/>
    <col min="30" max="30" width="26.7109375" bestFit="1" customWidth="1"/>
    <col min="31" max="31" width="18.7109375" bestFit="1" customWidth="1"/>
    <col min="32" max="32" width="32.28515625" bestFit="1" customWidth="1"/>
  </cols>
  <sheetData>
    <row r="3" spans="10:13" x14ac:dyDescent="0.25">
      <c r="J3" s="73" t="s">
        <v>206</v>
      </c>
      <c r="K3" t="s">
        <v>203</v>
      </c>
      <c r="L3" t="s">
        <v>204</v>
      </c>
      <c r="M3" t="s">
        <v>205</v>
      </c>
    </row>
    <row r="4" spans="10:13" x14ac:dyDescent="0.25">
      <c r="J4" s="74" t="s">
        <v>73</v>
      </c>
      <c r="K4" s="84">
        <v>322000</v>
      </c>
      <c r="L4" s="84">
        <v>720</v>
      </c>
      <c r="M4" s="84">
        <v>1750</v>
      </c>
    </row>
    <row r="5" spans="10:13" x14ac:dyDescent="0.25">
      <c r="J5" s="74" t="s">
        <v>78</v>
      </c>
      <c r="K5" s="84">
        <v>280000</v>
      </c>
      <c r="L5" s="84">
        <v>700</v>
      </c>
      <c r="M5" s="84">
        <v>1550</v>
      </c>
    </row>
    <row r="6" spans="10:13" x14ac:dyDescent="0.25">
      <c r="J6" s="74" t="s">
        <v>55</v>
      </c>
      <c r="K6" s="84">
        <v>93500</v>
      </c>
      <c r="L6" s="84">
        <v>540</v>
      </c>
      <c r="M6" s="84">
        <v>620</v>
      </c>
    </row>
    <row r="7" spans="10:13" x14ac:dyDescent="0.25">
      <c r="J7" s="74" t="s">
        <v>69</v>
      </c>
      <c r="K7" s="84">
        <v>280000</v>
      </c>
      <c r="L7" s="84">
        <v>760</v>
      </c>
      <c r="M7" s="84">
        <v>1450</v>
      </c>
    </row>
    <row r="8" spans="10:13" x14ac:dyDescent="0.25">
      <c r="J8" s="74" t="s">
        <v>153</v>
      </c>
      <c r="K8" s="84">
        <v>975500</v>
      </c>
      <c r="L8" s="84">
        <v>2720</v>
      </c>
      <c r="M8" s="84">
        <v>5370</v>
      </c>
    </row>
    <row r="35" spans="2:3" x14ac:dyDescent="0.25">
      <c r="B35" s="73" t="s">
        <v>206</v>
      </c>
      <c r="C35" t="s">
        <v>203</v>
      </c>
    </row>
    <row r="36" spans="2:3" x14ac:dyDescent="0.25">
      <c r="B36" s="74" t="s">
        <v>72</v>
      </c>
      <c r="C36" s="84">
        <v>100000</v>
      </c>
    </row>
    <row r="37" spans="2:3" x14ac:dyDescent="0.25">
      <c r="B37" s="74" t="s">
        <v>75</v>
      </c>
      <c r="C37" s="84">
        <v>80000</v>
      </c>
    </row>
    <row r="38" spans="2:3" x14ac:dyDescent="0.25">
      <c r="B38" s="74" t="s">
        <v>180</v>
      </c>
      <c r="C38" s="84">
        <v>42000</v>
      </c>
    </row>
    <row r="39" spans="2:3" x14ac:dyDescent="0.25">
      <c r="B39" s="74" t="s">
        <v>182</v>
      </c>
      <c r="C39" s="84">
        <v>100000</v>
      </c>
    </row>
    <row r="40" spans="2:3" x14ac:dyDescent="0.25">
      <c r="B40" s="74" t="s">
        <v>77</v>
      </c>
      <c r="C40" s="84">
        <v>50000</v>
      </c>
    </row>
    <row r="41" spans="2:3" x14ac:dyDescent="0.25">
      <c r="B41" s="74" t="s">
        <v>127</v>
      </c>
      <c r="C41" s="84">
        <v>100000</v>
      </c>
    </row>
    <row r="42" spans="2:3" x14ac:dyDescent="0.25">
      <c r="B42" s="74" t="s">
        <v>178</v>
      </c>
      <c r="C42" s="84">
        <v>30000</v>
      </c>
    </row>
    <row r="43" spans="2:3" x14ac:dyDescent="0.25">
      <c r="B43" s="74" t="s">
        <v>179</v>
      </c>
      <c r="C43" s="84">
        <v>100000</v>
      </c>
    </row>
    <row r="44" spans="2:3" x14ac:dyDescent="0.25">
      <c r="B44" s="74" t="s">
        <v>54</v>
      </c>
      <c r="C44" s="84">
        <v>12000</v>
      </c>
    </row>
    <row r="45" spans="2:3" x14ac:dyDescent="0.25">
      <c r="B45" s="74" t="s">
        <v>65</v>
      </c>
      <c r="C45" s="84">
        <v>22500</v>
      </c>
    </row>
    <row r="46" spans="2:3" x14ac:dyDescent="0.25">
      <c r="B46" s="74" t="s">
        <v>67</v>
      </c>
      <c r="C46" s="84">
        <v>9000</v>
      </c>
    </row>
    <row r="47" spans="2:3" x14ac:dyDescent="0.25">
      <c r="B47" s="74" t="s">
        <v>173</v>
      </c>
      <c r="C47" s="84">
        <v>50000</v>
      </c>
    </row>
    <row r="48" spans="2:3" x14ac:dyDescent="0.25">
      <c r="B48" s="74" t="s">
        <v>174</v>
      </c>
      <c r="C48" s="84">
        <v>60000</v>
      </c>
    </row>
    <row r="49" spans="2:3" x14ac:dyDescent="0.25">
      <c r="B49" s="74" t="s">
        <v>175</v>
      </c>
      <c r="C49" s="84">
        <v>40000</v>
      </c>
    </row>
    <row r="50" spans="2:3" x14ac:dyDescent="0.25">
      <c r="B50" s="74" t="s">
        <v>176</v>
      </c>
      <c r="C50" s="84">
        <v>100000</v>
      </c>
    </row>
    <row r="51" spans="2:3" x14ac:dyDescent="0.25">
      <c r="B51" s="74" t="s">
        <v>177</v>
      </c>
      <c r="C51" s="84">
        <v>80000</v>
      </c>
    </row>
    <row r="52" spans="2:3" x14ac:dyDescent="0.25">
      <c r="B52" s="74" t="s">
        <v>153</v>
      </c>
      <c r="C52" s="84">
        <v>975500</v>
      </c>
    </row>
    <row r="55" spans="2:3" x14ac:dyDescent="0.25">
      <c r="B55" s="73" t="s">
        <v>206</v>
      </c>
      <c r="C55" t="s">
        <v>205</v>
      </c>
    </row>
    <row r="56" spans="2:3" x14ac:dyDescent="0.25">
      <c r="B56" s="74" t="s">
        <v>72</v>
      </c>
      <c r="C56" s="84">
        <v>500</v>
      </c>
    </row>
    <row r="57" spans="2:3" x14ac:dyDescent="0.25">
      <c r="B57" s="74" t="s">
        <v>75</v>
      </c>
      <c r="C57" s="84">
        <v>400</v>
      </c>
    </row>
    <row r="58" spans="2:3" x14ac:dyDescent="0.25">
      <c r="B58" s="74" t="s">
        <v>180</v>
      </c>
      <c r="C58" s="84">
        <v>350</v>
      </c>
    </row>
    <row r="59" spans="2:3" x14ac:dyDescent="0.25">
      <c r="B59" s="74" t="s">
        <v>182</v>
      </c>
      <c r="C59" s="84">
        <v>500</v>
      </c>
    </row>
    <row r="60" spans="2:3" x14ac:dyDescent="0.25">
      <c r="B60" s="74" t="s">
        <v>77</v>
      </c>
      <c r="C60" s="84">
        <v>250</v>
      </c>
    </row>
    <row r="61" spans="2:3" x14ac:dyDescent="0.25">
      <c r="B61" s="74" t="s">
        <v>127</v>
      </c>
      <c r="C61" s="84">
        <v>500</v>
      </c>
    </row>
    <row r="62" spans="2:3" x14ac:dyDescent="0.25">
      <c r="B62" s="74" t="s">
        <v>178</v>
      </c>
      <c r="C62" s="84">
        <v>300</v>
      </c>
    </row>
    <row r="63" spans="2:3" x14ac:dyDescent="0.25">
      <c r="B63" s="74" t="s">
        <v>179</v>
      </c>
      <c r="C63" s="84">
        <v>500</v>
      </c>
    </row>
    <row r="64" spans="2:3" x14ac:dyDescent="0.25">
      <c r="B64" s="74" t="s">
        <v>54</v>
      </c>
      <c r="C64" s="84">
        <v>120</v>
      </c>
    </row>
    <row r="65" spans="2:3" x14ac:dyDescent="0.25">
      <c r="B65" s="74" t="s">
        <v>65</v>
      </c>
      <c r="C65" s="84">
        <v>150</v>
      </c>
    </row>
    <row r="66" spans="2:3" x14ac:dyDescent="0.25">
      <c r="B66" s="74" t="s">
        <v>67</v>
      </c>
      <c r="C66" s="84">
        <v>100</v>
      </c>
    </row>
    <row r="67" spans="2:3" x14ac:dyDescent="0.25">
      <c r="B67" s="74" t="s">
        <v>173</v>
      </c>
      <c r="C67" s="84">
        <v>250</v>
      </c>
    </row>
    <row r="68" spans="2:3" x14ac:dyDescent="0.25">
      <c r="B68" s="74" t="s">
        <v>174</v>
      </c>
      <c r="C68" s="84">
        <v>300</v>
      </c>
    </row>
    <row r="69" spans="2:3" x14ac:dyDescent="0.25">
      <c r="B69" s="74" t="s">
        <v>175</v>
      </c>
      <c r="C69" s="84">
        <v>250</v>
      </c>
    </row>
    <row r="70" spans="2:3" x14ac:dyDescent="0.25">
      <c r="B70" s="74" t="s">
        <v>176</v>
      </c>
      <c r="C70" s="84">
        <v>500</v>
      </c>
    </row>
    <row r="71" spans="2:3" x14ac:dyDescent="0.25">
      <c r="B71" s="74" t="s">
        <v>177</v>
      </c>
      <c r="C71" s="84">
        <v>400</v>
      </c>
    </row>
    <row r="72" spans="2:3" x14ac:dyDescent="0.25">
      <c r="B72" s="74" t="s">
        <v>153</v>
      </c>
      <c r="C72" s="84">
        <v>5370</v>
      </c>
    </row>
    <row r="75" spans="2:3" x14ac:dyDescent="0.25">
      <c r="B75" s="73" t="s">
        <v>206</v>
      </c>
      <c r="C75" t="s">
        <v>208</v>
      </c>
    </row>
    <row r="76" spans="2:3" x14ac:dyDescent="0.25">
      <c r="B76" s="74" t="s">
        <v>207</v>
      </c>
      <c r="C76" s="16"/>
    </row>
    <row r="77" spans="2:3" x14ac:dyDescent="0.25">
      <c r="B77" s="75" t="s">
        <v>91</v>
      </c>
      <c r="C77" s="16">
        <v>100000</v>
      </c>
    </row>
    <row r="78" spans="2:3" x14ac:dyDescent="0.25">
      <c r="B78" s="75" t="s">
        <v>192</v>
      </c>
      <c r="C78" s="16">
        <v>22500</v>
      </c>
    </row>
    <row r="79" spans="2:3" x14ac:dyDescent="0.25">
      <c r="B79" s="75" t="s">
        <v>140</v>
      </c>
      <c r="C79" s="16">
        <v>50000</v>
      </c>
    </row>
    <row r="80" spans="2:3" x14ac:dyDescent="0.25">
      <c r="B80" s="75" t="s">
        <v>201</v>
      </c>
      <c r="C80" s="16">
        <v>100000</v>
      </c>
    </row>
    <row r="81" spans="2:3" x14ac:dyDescent="0.25">
      <c r="B81" s="75" t="s">
        <v>138</v>
      </c>
      <c r="C81" s="16">
        <v>12000</v>
      </c>
    </row>
    <row r="82" spans="2:3" x14ac:dyDescent="0.25">
      <c r="B82" s="75" t="s">
        <v>154</v>
      </c>
      <c r="C82" s="16">
        <v>60000</v>
      </c>
    </row>
    <row r="83" spans="2:3" x14ac:dyDescent="0.25">
      <c r="B83" s="75" t="s">
        <v>193</v>
      </c>
      <c r="C83" s="16">
        <v>9000</v>
      </c>
    </row>
    <row r="84" spans="2:3" x14ac:dyDescent="0.25">
      <c r="B84" s="75" t="s">
        <v>200</v>
      </c>
      <c r="C84" s="16">
        <v>30000</v>
      </c>
    </row>
    <row r="85" spans="2:3" x14ac:dyDescent="0.25">
      <c r="B85" s="75" t="s">
        <v>195</v>
      </c>
      <c r="C85" s="16">
        <v>100000</v>
      </c>
    </row>
    <row r="86" spans="2:3" x14ac:dyDescent="0.25">
      <c r="B86" s="75" t="s">
        <v>197</v>
      </c>
      <c r="C86" s="16">
        <v>80000</v>
      </c>
    </row>
    <row r="87" spans="2:3" x14ac:dyDescent="0.25">
      <c r="B87" s="75" t="s">
        <v>137</v>
      </c>
      <c r="C87" s="16">
        <v>50000</v>
      </c>
    </row>
    <row r="88" spans="2:3" x14ac:dyDescent="0.25">
      <c r="B88" s="75" t="s">
        <v>194</v>
      </c>
      <c r="C88" s="16">
        <v>40000</v>
      </c>
    </row>
    <row r="89" spans="2:3" x14ac:dyDescent="0.25">
      <c r="B89" s="75" t="s">
        <v>196</v>
      </c>
      <c r="C89" s="16">
        <v>80000</v>
      </c>
    </row>
    <row r="90" spans="2:3" x14ac:dyDescent="0.25">
      <c r="B90" s="75" t="s">
        <v>198</v>
      </c>
      <c r="C90" s="16">
        <v>42000</v>
      </c>
    </row>
    <row r="91" spans="2:3" x14ac:dyDescent="0.25">
      <c r="B91" s="75" t="s">
        <v>199</v>
      </c>
      <c r="C91" s="16">
        <v>100000</v>
      </c>
    </row>
    <row r="92" spans="2:3" x14ac:dyDescent="0.25">
      <c r="B92" s="75" t="s">
        <v>152</v>
      </c>
      <c r="C92" s="16">
        <v>100000</v>
      </c>
    </row>
    <row r="93" spans="2:3" x14ac:dyDescent="0.25">
      <c r="B93" s="74" t="s">
        <v>153</v>
      </c>
      <c r="C93" s="16">
        <v>975500</v>
      </c>
    </row>
    <row r="96" spans="2:3" x14ac:dyDescent="0.25">
      <c r="B96" s="73" t="s">
        <v>213</v>
      </c>
      <c r="C96" s="73" t="s">
        <v>209</v>
      </c>
    </row>
    <row r="97" spans="2:6" x14ac:dyDescent="0.25">
      <c r="C97" t="s">
        <v>210</v>
      </c>
      <c r="D97" t="s">
        <v>211</v>
      </c>
      <c r="E97" t="s">
        <v>212</v>
      </c>
      <c r="F97" t="s">
        <v>153</v>
      </c>
    </row>
    <row r="99" spans="2:6" x14ac:dyDescent="0.25">
      <c r="B99" s="73" t="s">
        <v>206</v>
      </c>
    </row>
    <row r="100" spans="2:6" x14ac:dyDescent="0.25">
      <c r="B100" s="74" t="s">
        <v>91</v>
      </c>
      <c r="C100" s="84">
        <v>200</v>
      </c>
      <c r="D100" s="84"/>
      <c r="E100" s="84"/>
      <c r="F100" s="84">
        <v>200</v>
      </c>
    </row>
    <row r="101" spans="2:6" x14ac:dyDescent="0.25">
      <c r="B101" s="74" t="s">
        <v>192</v>
      </c>
      <c r="C101" s="84">
        <v>150</v>
      </c>
      <c r="D101" s="84"/>
      <c r="E101" s="84"/>
      <c r="F101" s="84">
        <v>150</v>
      </c>
    </row>
    <row r="102" spans="2:6" x14ac:dyDescent="0.25">
      <c r="B102" s="74" t="s">
        <v>140</v>
      </c>
      <c r="C102" s="84"/>
      <c r="D102" s="84">
        <v>200</v>
      </c>
      <c r="E102" s="84"/>
      <c r="F102" s="84">
        <v>200</v>
      </c>
    </row>
    <row r="103" spans="2:6" x14ac:dyDescent="0.25">
      <c r="B103" s="74" t="s">
        <v>201</v>
      </c>
      <c r="C103" s="84"/>
      <c r="D103" s="84"/>
      <c r="E103" s="84">
        <v>200</v>
      </c>
      <c r="F103" s="84">
        <v>200</v>
      </c>
    </row>
    <row r="104" spans="2:6" x14ac:dyDescent="0.25">
      <c r="B104" s="74" t="s">
        <v>138</v>
      </c>
      <c r="C104" s="84"/>
      <c r="D104" s="84"/>
      <c r="E104" s="84">
        <v>100</v>
      </c>
      <c r="F104" s="84">
        <v>100</v>
      </c>
    </row>
    <row r="105" spans="2:6" x14ac:dyDescent="0.25">
      <c r="B105" s="74" t="s">
        <v>154</v>
      </c>
      <c r="C105" s="84"/>
      <c r="D105" s="84">
        <v>200</v>
      </c>
      <c r="E105" s="84"/>
      <c r="F105" s="84">
        <v>200</v>
      </c>
    </row>
    <row r="106" spans="2:6" x14ac:dyDescent="0.25">
      <c r="B106" s="74" t="s">
        <v>193</v>
      </c>
      <c r="C106" s="84"/>
      <c r="D106" s="84">
        <v>90</v>
      </c>
      <c r="E106" s="84"/>
      <c r="F106" s="84">
        <v>90</v>
      </c>
    </row>
    <row r="107" spans="2:6" x14ac:dyDescent="0.25">
      <c r="B107" s="74" t="s">
        <v>200</v>
      </c>
      <c r="C107" s="84">
        <v>100</v>
      </c>
      <c r="D107" s="84"/>
      <c r="E107" s="84"/>
      <c r="F107" s="84">
        <v>100</v>
      </c>
    </row>
    <row r="108" spans="2:6" x14ac:dyDescent="0.25">
      <c r="B108" s="74" t="s">
        <v>195</v>
      </c>
      <c r="C108" s="84"/>
      <c r="D108" s="84">
        <v>200</v>
      </c>
      <c r="E108" s="84"/>
      <c r="F108" s="84">
        <v>200</v>
      </c>
    </row>
    <row r="109" spans="2:6" x14ac:dyDescent="0.25">
      <c r="B109" s="74" t="s">
        <v>197</v>
      </c>
      <c r="C109" s="84"/>
      <c r="D109" s="84"/>
      <c r="E109" s="84">
        <v>200</v>
      </c>
      <c r="F109" s="84">
        <v>200</v>
      </c>
    </row>
    <row r="110" spans="2:6" x14ac:dyDescent="0.25">
      <c r="B110" s="74" t="s">
        <v>137</v>
      </c>
      <c r="C110" s="84"/>
      <c r="D110" s="84">
        <v>200</v>
      </c>
      <c r="E110" s="84"/>
      <c r="F110" s="84">
        <v>200</v>
      </c>
    </row>
    <row r="111" spans="2:6" x14ac:dyDescent="0.25">
      <c r="B111" s="74" t="s">
        <v>194</v>
      </c>
      <c r="C111" s="84"/>
      <c r="D111" s="84">
        <v>160</v>
      </c>
      <c r="E111" s="84"/>
      <c r="F111" s="84">
        <v>160</v>
      </c>
    </row>
    <row r="112" spans="2:6" x14ac:dyDescent="0.25">
      <c r="B112" s="74" t="s">
        <v>196</v>
      </c>
      <c r="C112" s="84">
        <v>200</v>
      </c>
      <c r="D112" s="84"/>
      <c r="E112" s="84"/>
      <c r="F112" s="84">
        <v>200</v>
      </c>
    </row>
    <row r="113" spans="2:6" x14ac:dyDescent="0.25">
      <c r="B113" s="74" t="s">
        <v>198</v>
      </c>
      <c r="C113" s="84"/>
      <c r="D113" s="84">
        <v>120</v>
      </c>
      <c r="E113" s="84"/>
      <c r="F113" s="84">
        <v>120</v>
      </c>
    </row>
    <row r="114" spans="2:6" x14ac:dyDescent="0.25">
      <c r="B114" s="74" t="s">
        <v>199</v>
      </c>
      <c r="C114" s="84"/>
      <c r="D114" s="84">
        <v>200</v>
      </c>
      <c r="E114" s="84"/>
      <c r="F114" s="84">
        <v>200</v>
      </c>
    </row>
    <row r="115" spans="2:6" x14ac:dyDescent="0.25">
      <c r="B115" s="74" t="s">
        <v>152</v>
      </c>
      <c r="C115" s="84"/>
      <c r="D115" s="84">
        <v>200</v>
      </c>
      <c r="E115" s="84"/>
      <c r="F115" s="84">
        <v>200</v>
      </c>
    </row>
    <row r="116" spans="2:6" x14ac:dyDescent="0.25">
      <c r="B116" s="74" t="s">
        <v>153</v>
      </c>
      <c r="C116" s="84">
        <v>650</v>
      </c>
      <c r="D116" s="84">
        <v>1570</v>
      </c>
      <c r="E116" s="84">
        <v>500</v>
      </c>
      <c r="F116" s="84">
        <v>2720</v>
      </c>
    </row>
    <row r="119" spans="2:6" x14ac:dyDescent="0.25">
      <c r="B119" s="73" t="s">
        <v>206</v>
      </c>
      <c r="C119" t="s">
        <v>213</v>
      </c>
      <c r="D119" t="s">
        <v>202</v>
      </c>
    </row>
    <row r="120" spans="2:6" x14ac:dyDescent="0.25">
      <c r="B120" s="74" t="s">
        <v>91</v>
      </c>
      <c r="C120" s="84">
        <v>200</v>
      </c>
      <c r="D120" s="84">
        <v>100000</v>
      </c>
    </row>
    <row r="121" spans="2:6" x14ac:dyDescent="0.25">
      <c r="B121" s="74" t="s">
        <v>192</v>
      </c>
      <c r="C121" s="84">
        <v>150</v>
      </c>
      <c r="D121" s="84">
        <v>22500</v>
      </c>
    </row>
    <row r="122" spans="2:6" x14ac:dyDescent="0.25">
      <c r="B122" s="74" t="s">
        <v>140</v>
      </c>
      <c r="C122" s="84">
        <v>200</v>
      </c>
      <c r="D122" s="84">
        <v>50000</v>
      </c>
    </row>
    <row r="123" spans="2:6" x14ac:dyDescent="0.25">
      <c r="B123" s="74" t="s">
        <v>201</v>
      </c>
      <c r="C123" s="84">
        <v>200</v>
      </c>
      <c r="D123" s="84">
        <v>100000</v>
      </c>
    </row>
    <row r="124" spans="2:6" x14ac:dyDescent="0.25">
      <c r="B124" s="74" t="s">
        <v>138</v>
      </c>
      <c r="C124" s="84">
        <v>100</v>
      </c>
      <c r="D124" s="84">
        <v>12000</v>
      </c>
    </row>
    <row r="125" spans="2:6" x14ac:dyDescent="0.25">
      <c r="B125" s="74" t="s">
        <v>154</v>
      </c>
      <c r="C125" s="84">
        <v>200</v>
      </c>
      <c r="D125" s="84">
        <v>60000</v>
      </c>
    </row>
    <row r="126" spans="2:6" x14ac:dyDescent="0.25">
      <c r="B126" s="74" t="s">
        <v>193</v>
      </c>
      <c r="C126" s="84">
        <v>90</v>
      </c>
      <c r="D126" s="84">
        <v>9000</v>
      </c>
    </row>
    <row r="127" spans="2:6" x14ac:dyDescent="0.25">
      <c r="B127" s="74" t="s">
        <v>200</v>
      </c>
      <c r="C127" s="84">
        <v>100</v>
      </c>
      <c r="D127" s="84">
        <v>30000</v>
      </c>
    </row>
    <row r="128" spans="2:6" x14ac:dyDescent="0.25">
      <c r="B128" s="74" t="s">
        <v>195</v>
      </c>
      <c r="C128" s="84">
        <v>200</v>
      </c>
      <c r="D128" s="84">
        <v>100000</v>
      </c>
    </row>
    <row r="129" spans="2:4" x14ac:dyDescent="0.25">
      <c r="B129" s="74" t="s">
        <v>197</v>
      </c>
      <c r="C129" s="84">
        <v>200</v>
      </c>
      <c r="D129" s="84">
        <v>80000</v>
      </c>
    </row>
    <row r="130" spans="2:4" x14ac:dyDescent="0.25">
      <c r="B130" s="74" t="s">
        <v>137</v>
      </c>
      <c r="C130" s="84">
        <v>200</v>
      </c>
      <c r="D130" s="84">
        <v>50000</v>
      </c>
    </row>
    <row r="131" spans="2:4" x14ac:dyDescent="0.25">
      <c r="B131" s="74" t="s">
        <v>194</v>
      </c>
      <c r="C131" s="84">
        <v>160</v>
      </c>
      <c r="D131" s="84">
        <v>40000</v>
      </c>
    </row>
    <row r="132" spans="2:4" x14ac:dyDescent="0.25">
      <c r="B132" s="74" t="s">
        <v>196</v>
      </c>
      <c r="C132" s="84">
        <v>200</v>
      </c>
      <c r="D132" s="84">
        <v>80000</v>
      </c>
    </row>
    <row r="133" spans="2:4" x14ac:dyDescent="0.25">
      <c r="B133" s="74" t="s">
        <v>198</v>
      </c>
      <c r="C133" s="84">
        <v>120</v>
      </c>
      <c r="D133" s="84">
        <v>42000</v>
      </c>
    </row>
    <row r="134" spans="2:4" x14ac:dyDescent="0.25">
      <c r="B134" s="74" t="s">
        <v>199</v>
      </c>
      <c r="C134" s="84">
        <v>200</v>
      </c>
      <c r="D134" s="84">
        <v>100000</v>
      </c>
    </row>
    <row r="135" spans="2:4" x14ac:dyDescent="0.25">
      <c r="B135" s="74" t="s">
        <v>152</v>
      </c>
      <c r="C135" s="84">
        <v>200</v>
      </c>
      <c r="D135" s="84">
        <v>100000</v>
      </c>
    </row>
    <row r="136" spans="2:4" x14ac:dyDescent="0.25">
      <c r="B136" s="74" t="s">
        <v>153</v>
      </c>
      <c r="C136" s="84">
        <v>2720</v>
      </c>
      <c r="D136" s="84">
        <v>975500</v>
      </c>
    </row>
    <row r="139" spans="2:4" x14ac:dyDescent="0.25">
      <c r="B139" s="73" t="s">
        <v>206</v>
      </c>
      <c r="C139" t="s">
        <v>213</v>
      </c>
    </row>
    <row r="140" spans="2:4" x14ac:dyDescent="0.25">
      <c r="B140" s="74" t="s">
        <v>72</v>
      </c>
      <c r="C140" s="84">
        <v>200</v>
      </c>
    </row>
    <row r="141" spans="2:4" x14ac:dyDescent="0.25">
      <c r="B141" s="74" t="s">
        <v>75</v>
      </c>
      <c r="C141" s="84">
        <v>200</v>
      </c>
    </row>
    <row r="142" spans="2:4" x14ac:dyDescent="0.25">
      <c r="B142" s="74" t="s">
        <v>180</v>
      </c>
      <c r="C142" s="84">
        <v>120</v>
      </c>
    </row>
    <row r="143" spans="2:4" x14ac:dyDescent="0.25">
      <c r="B143" s="74" t="s">
        <v>182</v>
      </c>
      <c r="C143" s="84">
        <v>200</v>
      </c>
    </row>
    <row r="144" spans="2:4" x14ac:dyDescent="0.25">
      <c r="B144" s="74" t="s">
        <v>77</v>
      </c>
      <c r="C144" s="84">
        <v>200</v>
      </c>
    </row>
    <row r="145" spans="2:3" x14ac:dyDescent="0.25">
      <c r="B145" s="74" t="s">
        <v>127</v>
      </c>
      <c r="C145" s="84">
        <v>200</v>
      </c>
    </row>
    <row r="146" spans="2:3" x14ac:dyDescent="0.25">
      <c r="B146" s="74" t="s">
        <v>178</v>
      </c>
      <c r="C146" s="84">
        <v>100</v>
      </c>
    </row>
    <row r="147" spans="2:3" x14ac:dyDescent="0.25">
      <c r="B147" s="74" t="s">
        <v>179</v>
      </c>
      <c r="C147" s="84">
        <v>200</v>
      </c>
    </row>
    <row r="148" spans="2:3" x14ac:dyDescent="0.25">
      <c r="B148" s="74" t="s">
        <v>54</v>
      </c>
      <c r="C148" s="84">
        <v>100</v>
      </c>
    </row>
    <row r="149" spans="2:3" x14ac:dyDescent="0.25">
      <c r="B149" s="74" t="s">
        <v>65</v>
      </c>
      <c r="C149" s="84">
        <v>150</v>
      </c>
    </row>
    <row r="150" spans="2:3" x14ac:dyDescent="0.25">
      <c r="B150" s="74" t="s">
        <v>67</v>
      </c>
      <c r="C150" s="84">
        <v>90</v>
      </c>
    </row>
    <row r="151" spans="2:3" x14ac:dyDescent="0.25">
      <c r="B151" s="74" t="s">
        <v>173</v>
      </c>
      <c r="C151" s="84">
        <v>200</v>
      </c>
    </row>
    <row r="152" spans="2:3" x14ac:dyDescent="0.25">
      <c r="B152" s="74" t="s">
        <v>174</v>
      </c>
      <c r="C152" s="84">
        <v>200</v>
      </c>
    </row>
    <row r="153" spans="2:3" x14ac:dyDescent="0.25">
      <c r="B153" s="74" t="s">
        <v>175</v>
      </c>
      <c r="C153" s="84">
        <v>160</v>
      </c>
    </row>
    <row r="154" spans="2:3" x14ac:dyDescent="0.25">
      <c r="B154" s="74" t="s">
        <v>176</v>
      </c>
      <c r="C154" s="84">
        <v>200</v>
      </c>
    </row>
    <row r="155" spans="2:3" x14ac:dyDescent="0.25">
      <c r="B155" s="74" t="s">
        <v>177</v>
      </c>
      <c r="C155" s="84">
        <v>200</v>
      </c>
    </row>
    <row r="156" spans="2:3" x14ac:dyDescent="0.25">
      <c r="B156" s="74" t="s">
        <v>153</v>
      </c>
      <c r="C156" s="84">
        <v>2720</v>
      </c>
    </row>
  </sheetData>
  <pageMargins left="0.7" right="0.7" top="0.75" bottom="0.75" header="0.3" footer="0.3"/>
  <drawing r:id="rId8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Props1.xml><?xml version="1.0" encoding="utf-8"?>
<ds:datastoreItem xmlns:ds="http://schemas.openxmlformats.org/officeDocument/2006/customXml" ds:itemID="{B7D106FB-4628-4804-B8BF-5D56928353EB}">
  <ds:schemaRefs/>
</ds:datastoreItem>
</file>

<file path=customXml/itemProps2.xml><?xml version="1.0" encoding="utf-8"?>
<ds:datastoreItem xmlns:ds="http://schemas.openxmlformats.org/officeDocument/2006/customXml" ds:itemID="{9AB4C030-E543-47D4-BEC0-184E1787F966}">
  <ds:schemaRefs/>
</ds:datastoreItem>
</file>

<file path=customXml/itemProps3.xml><?xml version="1.0" encoding="utf-8"?>
<ds:datastoreItem xmlns:ds="http://schemas.openxmlformats.org/officeDocument/2006/customXml" ds:itemID="{49C546B1-9DA4-43F0-B38C-3F3003503016}">
  <ds:schemaRefs/>
</ds:datastoreItem>
</file>

<file path=customXml/itemProps4.xml><?xml version="1.0" encoding="utf-8"?>
<ds:datastoreItem xmlns:ds="http://schemas.openxmlformats.org/officeDocument/2006/customXml" ds:itemID="{62CDAD55-78A4-4AB7-95F0-6E2EA1C88D99}">
  <ds:schemaRefs/>
</ds:datastoreItem>
</file>

<file path=customXml/itemProps5.xml><?xml version="1.0" encoding="utf-8"?>
<ds:datastoreItem xmlns:ds="http://schemas.openxmlformats.org/officeDocument/2006/customXml" ds:itemID="{3ABA8F57-23C9-4DA5-8D0A-CCCA53DCA294}">
  <ds:schemaRefs/>
</ds:datastoreItem>
</file>

<file path=customXml/itemProps6.xml><?xml version="1.0" encoding="utf-8"?>
<ds:datastoreItem xmlns:ds="http://schemas.openxmlformats.org/officeDocument/2006/customXml" ds:itemID="{2BD94904-3234-4EC4-9452-271B6518C60B}">
  <ds:schemaRefs>
    <ds:schemaRef ds:uri="http://www.w3.org/2001/XMLSchema"/>
    <ds:schemaRef ds:uri="http://microsoft.data.visualization.engine.tours/1.0"/>
  </ds:schemaRefs>
</ds:datastoreItem>
</file>

<file path=customXml/itemProps7.xml><?xml version="1.0" encoding="utf-8"?>
<ds:datastoreItem xmlns:ds="http://schemas.openxmlformats.org/officeDocument/2006/customXml" ds:itemID="{09E960C0-DF72-4A0E-91D0-8BEB4FE09CAA}">
  <ds:schemaRefs>
    <ds:schemaRef ds:uri="http://www.w3.org/2001/XMLSchema"/>
    <ds:schemaRef ds:uri="http://microsoft.data.visualization.Client.Excel.PState/1.0"/>
  </ds:schemaRefs>
</ds:datastoreItem>
</file>

<file path=customXml/itemProps8.xml><?xml version="1.0" encoding="utf-8"?>
<ds:datastoreItem xmlns:ds="http://schemas.openxmlformats.org/officeDocument/2006/customXml" ds:itemID="{01DE5478-9E06-4294-B2F1-F96C6D050116}">
  <ds:schemaRefs>
    <ds:schemaRef ds:uri="http://www.w3.org/2001/XMLSchema"/>
    <ds:schemaRef ds:uri="http://microsoft.data.visualization.Client.Excel.LState/1.0"/>
  </ds:schemaRefs>
</ds:datastoreItem>
</file>

<file path=customXml/itemProps9.xml><?xml version="1.0" encoding="utf-8"?>
<ds:datastoreItem xmlns:ds="http://schemas.openxmlformats.org/officeDocument/2006/customXml" ds:itemID="{09BD3F86-5389-4459-B460-D08B7EACF7C0}">
  <ds:schemaRefs/>
</ds:datastoreItem>
</file>

<file path=customXml/itemProps10.xml><?xml version="1.0" encoding="utf-8"?>
<ds:datastoreItem xmlns:ds="http://schemas.openxmlformats.org/officeDocument/2006/customXml" ds:itemID="{5CAB32B3-3C54-44B7-B1FE-8F5FAE7FAF7F}">
  <ds:schemaRefs/>
</ds:datastoreItem>
</file>

<file path=customXml/itemProps11.xml><?xml version="1.0" encoding="utf-8"?>
<ds:datastoreItem xmlns:ds="http://schemas.openxmlformats.org/officeDocument/2006/customXml" ds:itemID="{8202FE79-67AA-48DA-8869-1EA4E45F1963}">
  <ds:schemaRefs/>
</ds:datastoreItem>
</file>

<file path=customXml/itemProps12.xml><?xml version="1.0" encoding="utf-8"?>
<ds:datastoreItem xmlns:ds="http://schemas.openxmlformats.org/officeDocument/2006/customXml" ds:itemID="{CB19C89A-EC13-46D4-906C-75C90BDF35C8}">
  <ds:schemaRefs/>
</ds:datastoreItem>
</file>

<file path=customXml/itemProps13.xml><?xml version="1.0" encoding="utf-8"?>
<ds:datastoreItem xmlns:ds="http://schemas.openxmlformats.org/officeDocument/2006/customXml" ds:itemID="{E36E4A90-CE62-42D8-8DFD-730043C3B464}">
  <ds:schemaRefs/>
</ds:datastoreItem>
</file>

<file path=customXml/itemProps14.xml><?xml version="1.0" encoding="utf-8"?>
<ds:datastoreItem xmlns:ds="http://schemas.openxmlformats.org/officeDocument/2006/customXml" ds:itemID="{4E0EF20B-E7AA-4FE8-9A30-C912B13D46C1}">
  <ds:schemaRefs/>
</ds:datastoreItem>
</file>

<file path=customXml/itemProps15.xml><?xml version="1.0" encoding="utf-8"?>
<ds:datastoreItem xmlns:ds="http://schemas.openxmlformats.org/officeDocument/2006/customXml" ds:itemID="{020F8467-EBAA-4504-881C-4F5F2DC6D7C6}">
  <ds:schemaRefs/>
</ds:datastoreItem>
</file>

<file path=customXml/itemProps16.xml><?xml version="1.0" encoding="utf-8"?>
<ds:datastoreItem xmlns:ds="http://schemas.openxmlformats.org/officeDocument/2006/customXml" ds:itemID="{9A12A70E-67F0-425D-8F27-965C439F88D5}">
  <ds:schemaRefs>
    <ds:schemaRef ds:uri="http://www.w3.org/2001/XMLSchema"/>
    <ds:schemaRef ds:uri="http://microsoft.data.visualization.Client.Excel/1.0"/>
  </ds:schemaRefs>
</ds:datastoreItem>
</file>

<file path=customXml/itemProps17.xml><?xml version="1.0" encoding="utf-8"?>
<ds:datastoreItem xmlns:ds="http://schemas.openxmlformats.org/officeDocument/2006/customXml" ds:itemID="{A1E4566D-33A6-4E9D-AE30-F987DD63E89E}">
  <ds:schemaRefs/>
</ds:datastoreItem>
</file>

<file path=customXml/itemProps18.xml><?xml version="1.0" encoding="utf-8"?>
<ds:datastoreItem xmlns:ds="http://schemas.openxmlformats.org/officeDocument/2006/customXml" ds:itemID="{7344F699-DA69-4515-AB35-550F726F3727}">
  <ds:schemaRefs/>
</ds:datastoreItem>
</file>

<file path=customXml/itemProps19.xml><?xml version="1.0" encoding="utf-8"?>
<ds:datastoreItem xmlns:ds="http://schemas.openxmlformats.org/officeDocument/2006/customXml" ds:itemID="{E595CE16-742C-4A11-8039-A6BD5CC70928}">
  <ds:schemaRefs/>
</ds:datastoreItem>
</file>

<file path=customXml/itemProps20.xml><?xml version="1.0" encoding="utf-8"?>
<ds:datastoreItem xmlns:ds="http://schemas.openxmlformats.org/officeDocument/2006/customXml" ds:itemID="{020BDD29-640B-4128-9BE7-3470D5B8F4F6}">
  <ds:schemaRefs/>
</ds:datastoreItem>
</file>

<file path=customXml/itemProps21.xml><?xml version="1.0" encoding="utf-8"?>
<ds:datastoreItem xmlns:ds="http://schemas.openxmlformats.org/officeDocument/2006/customXml" ds:itemID="{4F39EADE-839E-4356-BE33-3EE3B233C9CB}">
  <ds:schemaRefs/>
</ds:datastoreItem>
</file>

<file path=customXml/itemProps22.xml><?xml version="1.0" encoding="utf-8"?>
<ds:datastoreItem xmlns:ds="http://schemas.openxmlformats.org/officeDocument/2006/customXml" ds:itemID="{FDDFE828-0583-433D-8268-4A98A8394D40}">
  <ds:schemaRefs/>
</ds:datastoreItem>
</file>

<file path=customXml/itemProps23.xml><?xml version="1.0" encoding="utf-8"?>
<ds:datastoreItem xmlns:ds="http://schemas.openxmlformats.org/officeDocument/2006/customXml" ds:itemID="{876B6AB9-1DFA-4CC3-AD49-FB68A6504DA8}">
  <ds:schemaRefs/>
</ds:datastoreItem>
</file>

<file path=customXml/itemProps24.xml><?xml version="1.0" encoding="utf-8"?>
<ds:datastoreItem xmlns:ds="http://schemas.openxmlformats.org/officeDocument/2006/customXml" ds:itemID="{A20F53E8-FC88-4085-BC98-8C0ED570735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11</vt:i4>
      </vt:variant>
      <vt:variant>
        <vt:lpstr>Intervalli denominati</vt:lpstr>
      </vt:variant>
      <vt:variant>
        <vt:i4>26</vt:i4>
      </vt:variant>
    </vt:vector>
  </HeadingPairs>
  <TitlesOfParts>
    <vt:vector size="37" baseType="lpstr">
      <vt:lpstr>HOME</vt:lpstr>
      <vt:lpstr>INSERIMENTO DATI</vt:lpstr>
      <vt:lpstr>RICERCA DOCENTE</vt:lpstr>
      <vt:lpstr>ANALISI</vt:lpstr>
      <vt:lpstr>GRAFICI</vt:lpstr>
      <vt:lpstr>sedi</vt:lpstr>
      <vt:lpstr>corsi</vt:lpstr>
      <vt:lpstr>docenti</vt:lpstr>
      <vt:lpstr>programmazione</vt:lpstr>
      <vt:lpstr>traccia</vt:lpstr>
      <vt:lpstr>TAB PIV </vt:lpstr>
      <vt:lpstr>CAPIENZA</vt:lpstr>
      <vt:lpstr>CITTA__DI_RESIDENZA</vt:lpstr>
      <vt:lpstr>CITTA_SEDE</vt:lpstr>
      <vt:lpstr>COGNOME</vt:lpstr>
      <vt:lpstr>combo</vt:lpstr>
      <vt:lpstr>COSTO_TOTALE</vt:lpstr>
      <vt:lpstr>DATA_DI_NASCITA</vt:lpstr>
      <vt:lpstr>DATA_FINE</vt:lpstr>
      <vt:lpstr>DATA_INIZIO</vt:lpstr>
      <vt:lpstr>DENOM_SEDE</vt:lpstr>
      <vt:lpstr>elenco_materie</vt:lpstr>
      <vt:lpstr>ID_CORSO</vt:lpstr>
      <vt:lpstr>ID_DOCENTE</vt:lpstr>
      <vt:lpstr>ID_SEDE</vt:lpstr>
      <vt:lpstr>IND_SEDE</vt:lpstr>
      <vt:lpstr>MAT_CORSO</vt:lpstr>
      <vt:lpstr>MAT_DOCENTE</vt:lpstr>
      <vt:lpstr>'INSERIMENTO DATI'!MATERIA</vt:lpstr>
      <vt:lpstr>MATERIA</vt:lpstr>
      <vt:lpstr>NOM_COMPLETO</vt:lpstr>
      <vt:lpstr>NOME</vt:lpstr>
      <vt:lpstr>NOME_CORSO</vt:lpstr>
      <vt:lpstr>NOMINATIVO_COMPLETO</vt:lpstr>
      <vt:lpstr>ORE</vt:lpstr>
      <vt:lpstr>PREZZO</vt:lpstr>
      <vt:lpstr>TIT_CORSO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giuseppedamico</dc:creator>
  <cp:lastModifiedBy>Giuseppe d'Amico</cp:lastModifiedBy>
  <dcterms:created xsi:type="dcterms:W3CDTF">2023-03-28T18:12:49Z</dcterms:created>
  <dcterms:modified xsi:type="dcterms:W3CDTF">2023-04-04T16:37:53Z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2023-03-31T17:06:49Z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6a7dfa72-acd2-45fc-a1cb-f66e6ae3f79d</vt:lpwstr>
  </property>
  <property fmtid="{D5CDD505-2E9C-101B-9397-08002B2CF9AE}" pid="7" name="MSIP_Label_defa4170-0d19-0005-0004-bc88714345d2_ActionId">
    <vt:lpwstr>f6b5c1fe-95c0-4b85-be4b-9b935f1b0265</vt:lpwstr>
  </property>
  <property fmtid="{D5CDD505-2E9C-101B-9397-08002B2CF9AE}" pid="8" name="MSIP_Label_defa4170-0d19-0005-0004-bc88714345d2_ContentBits">
    <vt:lpwstr>0</vt:lpwstr>
  </property>
</Properties>
</file>